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55" windowWidth="19815" windowHeight="9150" activeTab="1"/>
  </bookViews>
  <sheets>
    <sheet name="Cash Cycles" sheetId="1" r:id="rId1"/>
    <sheet name="Sheet1" sheetId="2" r:id="rId2"/>
    <sheet name="نهائي" sheetId="3" r:id="rId3"/>
  </sheets>
  <definedNames>
    <definedName name="_xlnm._FilterDatabase" localSheetId="0" hidden="1">'Cash Cycles'!$A$1:$AI$63</definedName>
    <definedName name="_xlnm._FilterDatabase" localSheetId="1" hidden="1">Sheet1!$A$1:$A$63</definedName>
  </definedNames>
  <calcPr calcId="144525"/>
</workbook>
</file>

<file path=xl/calcChain.xml><?xml version="1.0" encoding="utf-8"?>
<calcChain xmlns="http://schemas.openxmlformats.org/spreadsheetml/2006/main">
  <c r="O4" i="2" l="1"/>
  <c r="O5" i="2"/>
  <c r="C64" i="2" l="1"/>
  <c r="D64" i="2"/>
  <c r="E64" i="2"/>
  <c r="B64" i="2"/>
  <c r="H64" i="2"/>
  <c r="C4" i="3" s="1"/>
  <c r="I64" i="2"/>
  <c r="D4" i="3" s="1"/>
  <c r="G64" i="2"/>
  <c r="B4" i="3" l="1"/>
  <c r="B5" i="3" s="1"/>
  <c r="M3" i="2"/>
  <c r="M6" i="2" s="1"/>
  <c r="B9" i="3"/>
  <c r="B7" i="3"/>
  <c r="F65" i="2"/>
  <c r="C5" i="3"/>
  <c r="D5" i="3"/>
  <c r="O3" i="2" l="1"/>
  <c r="O6" i="2" s="1"/>
  <c r="E5" i="3"/>
  <c r="B8" i="3" s="1"/>
  <c r="B11" i="3" s="1"/>
</calcChain>
</file>

<file path=xl/sharedStrings.xml><?xml version="1.0" encoding="utf-8"?>
<sst xmlns="http://schemas.openxmlformats.org/spreadsheetml/2006/main" count="1734" uniqueCount="369">
  <si>
    <t>Business ID</t>
  </si>
  <si>
    <t>Business Name</t>
  </si>
  <si>
    <t>Order Id</t>
  </si>
  <si>
    <t>Order Type</t>
  </si>
  <si>
    <t>Package size</t>
  </si>
  <si>
    <t>Order Status</t>
  </si>
  <si>
    <t>Order Reference</t>
  </si>
  <si>
    <t>Package Description</t>
  </si>
  <si>
    <t>Customer Name</t>
  </si>
  <si>
    <t>Customer Phone</t>
  </si>
  <si>
    <t>Completed At</t>
  </si>
  <si>
    <t>Confirmed At</t>
  </si>
  <si>
    <t>Pickup City</t>
  </si>
  <si>
    <t>Dropoff City</t>
  </si>
  <si>
    <t>COD</t>
  </si>
  <si>
    <t>Online Payment Amount</t>
  </si>
  <si>
    <t>Shipping Fees</t>
  </si>
  <si>
    <t>Insurance Fees</t>
  </si>
  <si>
    <t>Collection Fees</t>
  </si>
  <si>
    <t>Next Day Transfer Fees</t>
  </si>
  <si>
    <t>0 COD Discount</t>
  </si>
  <si>
    <t>Promotion Discount</t>
  </si>
  <si>
    <t>POS Fees</t>
  </si>
  <si>
    <t>COD Fees</t>
  </si>
  <si>
    <t>Fulfillment Fees</t>
  </si>
  <si>
    <t>VAT</t>
  </si>
  <si>
    <t>Bosta Credits</t>
  </si>
  <si>
    <t>Opening Package Fees</t>
  </si>
  <si>
    <t>Flex Ship Fees</t>
  </si>
  <si>
    <t>Flex Ship Amount</t>
  </si>
  <si>
    <t>Total Fees</t>
  </si>
  <si>
    <t>Net Value</t>
  </si>
  <si>
    <t>Payment Status</t>
  </si>
  <si>
    <t>Paid At</t>
  </si>
  <si>
    <t>Cash-out ID</t>
  </si>
  <si>
    <t>KqZGUgmoPLcpQWvEtXpQH</t>
  </si>
  <si>
    <t>mazzboot</t>
  </si>
  <si>
    <t>10489208</t>
  </si>
  <si>
    <t>SEND</t>
  </si>
  <si>
    <t>Normal</t>
  </si>
  <si>
    <t>DELIVERED</t>
  </si>
  <si>
    <t>now-1049455</t>
  </si>
  <si>
    <t>كوتشي رجالي HK02 ابيض 41 - SKU : Mnpr1013-6 - Count: 1 ,</t>
  </si>
  <si>
    <t>ربيع هارون -</t>
  </si>
  <si>
    <t>+201023040318</t>
  </si>
  <si>
    <t>El Kalioubia</t>
  </si>
  <si>
    <t>Aswan</t>
  </si>
  <si>
    <t>81.00</t>
  </si>
  <si>
    <t>0.00</t>
  </si>
  <si>
    <t>11.34</t>
  </si>
  <si>
    <t>Paid</t>
  </si>
  <si>
    <t>SUNCOD14DEC25</t>
  </si>
  <si>
    <t>58567677</t>
  </si>
  <si>
    <t>now-1050524</t>
  </si>
  <si>
    <t>كوتشي حريمي MKF-02 (Nowshoes) رمادي 41 - SKU : mnpr872-15 - Count: 1 , كوتشي حريمي MKF-02 (Nowshoes) ابيض 41 - SKU : mnpr872-10 - Count: 1 ,</t>
  </si>
  <si>
    <t>شروق صبرى -</t>
  </si>
  <si>
    <t>+201103989220</t>
  </si>
  <si>
    <t>44165501</t>
  </si>
  <si>
    <t>now-1045740</t>
  </si>
  <si>
    <t>كوتشي حريمي MKF-02 (Nowshoes) ابيض 40 - SKU : mnpr872-9 - Count: 1 ,</t>
  </si>
  <si>
    <t>Aya habib -</t>
  </si>
  <si>
    <t>+201092917420</t>
  </si>
  <si>
    <t>Cairo</t>
  </si>
  <si>
    <t>50.00</t>
  </si>
  <si>
    <t>7.00</t>
  </si>
  <si>
    <t>53832157</t>
  </si>
  <si>
    <t>now-1050918</t>
  </si>
  <si>
    <t>كوتشي حريمي MKF-02 (Nowshoes) ابيض 37 - SKU : mnpr872-6 - Count: 1 ,</t>
  </si>
  <si>
    <t>هدير حمدي -</t>
  </si>
  <si>
    <t>+201098537311</t>
  </si>
  <si>
    <t>Sharqia</t>
  </si>
  <si>
    <t>60.00</t>
  </si>
  <si>
    <t>8.40</t>
  </si>
  <si>
    <t>73892609</t>
  </si>
  <si>
    <t>now-1049242</t>
  </si>
  <si>
    <t>كوتشي رجالي HK02 ابيض 43 - SKU : Mnpr1013-8 - Count: 1 ,</t>
  </si>
  <si>
    <t>مصطفى محمد -</t>
  </si>
  <si>
    <t>+201205318081</t>
  </si>
  <si>
    <t>30684568</t>
  </si>
  <si>
    <t>now-1050037</t>
  </si>
  <si>
    <t>هاله خيرى -</t>
  </si>
  <si>
    <t>+201010624191</t>
  </si>
  <si>
    <t>Gharbia</t>
  </si>
  <si>
    <t>53857391</t>
  </si>
  <si>
    <t>now-1051839</t>
  </si>
  <si>
    <t>كوتشي رجالي HK02 ابيض 42 - SKU : Mnpr1013-7 - Count: 1 ,</t>
  </si>
  <si>
    <t>مصطفي محي -</t>
  </si>
  <si>
    <t>+201142840763</t>
  </si>
  <si>
    <t>Menya</t>
  </si>
  <si>
    <t>71.00</t>
  </si>
  <si>
    <t>9.94</t>
  </si>
  <si>
    <t>59481012</t>
  </si>
  <si>
    <t>now-1051831</t>
  </si>
  <si>
    <t>كوتشي رجالي HK02 ابيض 45 - SKU : Mnpr1013-10 - Count: 1 ,</t>
  </si>
  <si>
    <t>عبدالرحمن صبري -</t>
  </si>
  <si>
    <t>+201097081483</t>
  </si>
  <si>
    <t>Giza</t>
  </si>
  <si>
    <t>17792494</t>
  </si>
  <si>
    <t>now-1051561</t>
  </si>
  <si>
    <t>كوتشي حريمي MKF-02 (Nowshoes) رمادي 37 - SKU : mnpr872-11 - Count: 1 ,</t>
  </si>
  <si>
    <t>دينا محمد عبد الرزاق -</t>
  </si>
  <si>
    <t>+201069406767</t>
  </si>
  <si>
    <t>Alexandria</t>
  </si>
  <si>
    <t>54.00</t>
  </si>
  <si>
    <t>7.56</t>
  </si>
  <si>
    <t>3643766</t>
  </si>
  <si>
    <t>now-1051924</t>
  </si>
  <si>
    <t>اسلام عكاشه -</t>
  </si>
  <si>
    <t>+201067753106</t>
  </si>
  <si>
    <t>43233773</t>
  </si>
  <si>
    <t>now-1052545</t>
  </si>
  <si>
    <t>كوتشي رجالي HK02 الاسود 44 - SKU : Mnpr1013-4 - Count: 1 ,</t>
  </si>
  <si>
    <t>محمد احمد -</t>
  </si>
  <si>
    <t>+201124776737</t>
  </si>
  <si>
    <t>74201997</t>
  </si>
  <si>
    <t>now-1051938</t>
  </si>
  <si>
    <t>كوتشي رجالي HK02 رمادي 45 - SKU : Mnpr1013-15 - Count: 1 ,</t>
  </si>
  <si>
    <t>مصطفي عمر -</t>
  </si>
  <si>
    <t>+201114591301</t>
  </si>
  <si>
    <t>26973276</t>
  </si>
  <si>
    <t>now-1051858</t>
  </si>
  <si>
    <t>مهند محمد -</t>
  </si>
  <si>
    <t>+201117006979</t>
  </si>
  <si>
    <t>30651431</t>
  </si>
  <si>
    <t>now-1051835</t>
  </si>
  <si>
    <t>ابانوب ظريف -</t>
  </si>
  <si>
    <t>+201200030316</t>
  </si>
  <si>
    <t>Bani Suif</t>
  </si>
  <si>
    <t>50017346</t>
  </si>
  <si>
    <t>now-1052054</t>
  </si>
  <si>
    <t>كوتشي حريمي MKF-02 (Nowshoes) ابيض 39 - SKU : mnpr872-8 - Count: 1 ,</t>
  </si>
  <si>
    <t>ايمي حسن -</t>
  </si>
  <si>
    <t>+201090290095</t>
  </si>
  <si>
    <t>59703267</t>
  </si>
  <si>
    <t>now-1051874</t>
  </si>
  <si>
    <t>عمر سلامه -</t>
  </si>
  <si>
    <t>+201122334239</t>
  </si>
  <si>
    <t>22202924</t>
  </si>
  <si>
    <t>now-1051943</t>
  </si>
  <si>
    <t>كوتشي رجالي HK02 الاسود 45 - SKU : Mnpr1013-5 - Count: 1 , كوتشي رجالي HK02 ابيض 45 - SKU : Mnpr1013-10 - Count: 1 ,</t>
  </si>
  <si>
    <t>احمد طلعت -</t>
  </si>
  <si>
    <t>+201022836654</t>
  </si>
  <si>
    <t>20526978</t>
  </si>
  <si>
    <t>now-1051189</t>
  </si>
  <si>
    <t>كوتشي حريمي Mk06 (Nowshoes) اسود*بينك 40 - SKU : mnpr871-14 - Count: 1 ,</t>
  </si>
  <si>
    <t>فاطمه بلال -</t>
  </si>
  <si>
    <t>+201003158378</t>
  </si>
  <si>
    <t>Assuit</t>
  </si>
  <si>
    <t>28384522</t>
  </si>
  <si>
    <t>now-1052561</t>
  </si>
  <si>
    <t>إسلام على -</t>
  </si>
  <si>
    <t>+201002793910</t>
  </si>
  <si>
    <t>19950780</t>
  </si>
  <si>
    <t>now-1051117</t>
  </si>
  <si>
    <t>كوتشي حريمي MKF-02 (Nowshoes) الاسود 37 - SKU : mnpr872-1 - Count: 1 ,</t>
  </si>
  <si>
    <t>ايات ناصر -</t>
  </si>
  <si>
    <t>+201062424485</t>
  </si>
  <si>
    <t>49062376</t>
  </si>
  <si>
    <t>now-1051886</t>
  </si>
  <si>
    <t>محمد جمال -</t>
  </si>
  <si>
    <t>+201020013294</t>
  </si>
  <si>
    <t>84201434</t>
  </si>
  <si>
    <t>now-1051868</t>
  </si>
  <si>
    <t>كوتشي رجالي HK02 الاسود 42 - SKU : Mnpr1013-2 - Count: 1 ,</t>
  </si>
  <si>
    <t>mohamed elsafty -</t>
  </si>
  <si>
    <t>+201551052448</t>
  </si>
  <si>
    <t>31371686</t>
  </si>
  <si>
    <t>now-1050787</t>
  </si>
  <si>
    <t>محمد ناصر -</t>
  </si>
  <si>
    <t>+201029032523</t>
  </si>
  <si>
    <t>41782818</t>
  </si>
  <si>
    <t>now-1052551</t>
  </si>
  <si>
    <t>نحمد فوزي -</t>
  </si>
  <si>
    <t>+201099400819</t>
  </si>
  <si>
    <t>19733131</t>
  </si>
  <si>
    <t>now-1051849</t>
  </si>
  <si>
    <t>محمد علي -</t>
  </si>
  <si>
    <t>+201068034068</t>
  </si>
  <si>
    <t>33488784</t>
  </si>
  <si>
    <t>now-1051905</t>
  </si>
  <si>
    <t>كوتشي رجالي HK02 ابيض 44 - SKU : Mnpr1013-9 - Count: 1 ,</t>
  </si>
  <si>
    <t>شريف رياض -</t>
  </si>
  <si>
    <t>+201090581814</t>
  </si>
  <si>
    <t>Behira</t>
  </si>
  <si>
    <t>14151540</t>
  </si>
  <si>
    <t>now-1051907</t>
  </si>
  <si>
    <t>كريم - -</t>
  </si>
  <si>
    <t>+201040296173</t>
  </si>
  <si>
    <t>34986328</t>
  </si>
  <si>
    <t>now-1052539</t>
  </si>
  <si>
    <t>مهاب نبيل -</t>
  </si>
  <si>
    <t>+201220338043</t>
  </si>
  <si>
    <t>12477009</t>
  </si>
  <si>
    <t>now-1052310</t>
  </si>
  <si>
    <t>رشا مرسي -</t>
  </si>
  <si>
    <t>+201100310177</t>
  </si>
  <si>
    <t>14703317</t>
  </si>
  <si>
    <t>now-1052695</t>
  </si>
  <si>
    <t>كوتشي رجالي HK02 الاسود 43 - SKU : Mnpr1013-3 - Count: 1 ,</t>
  </si>
  <si>
    <t>ابانوب وائل -</t>
  </si>
  <si>
    <t>+201559920213</t>
  </si>
  <si>
    <t>Red Sea</t>
  </si>
  <si>
    <t>36538702</t>
  </si>
  <si>
    <t>now-1051380</t>
  </si>
  <si>
    <t>معتز يسام -</t>
  </si>
  <si>
    <t>+201123349622</t>
  </si>
  <si>
    <t>55339166</t>
  </si>
  <si>
    <t>now-1052571</t>
  </si>
  <si>
    <t>كوتشي حريمي Mk06 (Nowshoes) رمادي 41 - SKU : mnpr871-5 - Count: 1 , كوتشي حريمي Mk06 (Nowshoes) اسود*رمادي 41 - SKU : mnpr871-10 - Count: 1 ,</t>
  </si>
  <si>
    <t>سارة احمد الهندي -</t>
  </si>
  <si>
    <t>+201101587078</t>
  </si>
  <si>
    <t>46426598</t>
  </si>
  <si>
    <t>now-1051459</t>
  </si>
  <si>
    <t>كوتشي حريمي Mk06 (Nowshoes) اسود*بينك 41 - SKU : mnpr871-15 - Count: 1 ,</t>
  </si>
  <si>
    <t>نسمه عبد المجيد -</t>
  </si>
  <si>
    <t>+201061920263</t>
  </si>
  <si>
    <t>25935019</t>
  </si>
  <si>
    <t>now-1051920</t>
  </si>
  <si>
    <t>Youssef Medhat -</t>
  </si>
  <si>
    <t>+201033387328</t>
  </si>
  <si>
    <t>55061466</t>
  </si>
  <si>
    <t>now-1046147</t>
  </si>
  <si>
    <t>دينا اشرف -</t>
  </si>
  <si>
    <t>+201111566773</t>
  </si>
  <si>
    <t>50602381</t>
  </si>
  <si>
    <t>now-1052554</t>
  </si>
  <si>
    <t>مينا حنا -</t>
  </si>
  <si>
    <t>+201060647267</t>
  </si>
  <si>
    <t>70549634</t>
  </si>
  <si>
    <t>now-1051219</t>
  </si>
  <si>
    <t>كوتشي حريمي MKF-02 (Nowshoes) ابيض 38 - SKU : mnpr872-7 - Count: 1 , كوتشي حريمي Mk06 (Nowshoes) اسود*رمادي 38 - SKU : mnpr871-7 - Count: 1 ,</t>
  </si>
  <si>
    <t>استاذ يوسف -</t>
  </si>
  <si>
    <t>+201018055769</t>
  </si>
  <si>
    <t>62881563</t>
  </si>
  <si>
    <t>now-1051942</t>
  </si>
  <si>
    <t>كوتشي رجالي HK02 رمادي 43 - SKU : Mnpr1013-13 - Count: 1 ,</t>
  </si>
  <si>
    <t>انور احمد -</t>
  </si>
  <si>
    <t>+201093590538</t>
  </si>
  <si>
    <t>Dakahlia</t>
  </si>
  <si>
    <t>75283195</t>
  </si>
  <si>
    <t>now-1051917</t>
  </si>
  <si>
    <t>محمد بهاء -</t>
  </si>
  <si>
    <t>+201271074073</t>
  </si>
  <si>
    <t>57765717</t>
  </si>
  <si>
    <t>now-1050716</t>
  </si>
  <si>
    <t>ربيع محمود -</t>
  </si>
  <si>
    <t>+201557036009</t>
  </si>
  <si>
    <t>Matrouh</t>
  </si>
  <si>
    <t>86086335</t>
  </si>
  <si>
    <t>now-1048267</t>
  </si>
  <si>
    <t>ساره سيد احمد -</t>
  </si>
  <si>
    <t>+201157124101</t>
  </si>
  <si>
    <t>27925031</t>
  </si>
  <si>
    <t>now-1052050</t>
  </si>
  <si>
    <t>كوتشي حريمي Mk06 (Nowshoes) رمادي 41 - SKU : mnpr871-5 - Count: 1 , كوتشي حريمي MKF-02 (Nowshoes) ابيض 41 - SKU : mnpr872-10 - Count: 1 ,</t>
  </si>
  <si>
    <t>مريم يحيي -</t>
  </si>
  <si>
    <t>+201091691783</t>
  </si>
  <si>
    <t>27412893</t>
  </si>
  <si>
    <t>now-1052229</t>
  </si>
  <si>
    <t>محمود جمعة -</t>
  </si>
  <si>
    <t>+201146209613</t>
  </si>
  <si>
    <t>25808981</t>
  </si>
  <si>
    <t>now-1051433</t>
  </si>
  <si>
    <t>كوتشي حريمي MKF-02 (Nowshoes) ابيض 41 - SKU : mnpr872-10 - Count: 1 ,</t>
  </si>
  <si>
    <t>كريم حمدي -</t>
  </si>
  <si>
    <t>+201006824324</t>
  </si>
  <si>
    <t>55981092</t>
  </si>
  <si>
    <t>now-1051891</t>
  </si>
  <si>
    <t>كوتشي رجالي HK02 الاسود 43 - SKU : Mnpr1013-3 - Count: 1 , كوتشي رجالي HK02 رمادي 43 - SKU : Mnpr1013-13 - Count: 1 ,</t>
  </si>
  <si>
    <t>ايمن ناصر -</t>
  </si>
  <si>
    <t>+201111623321</t>
  </si>
  <si>
    <t>67377826</t>
  </si>
  <si>
    <t>now-1051931</t>
  </si>
  <si>
    <t>كوتشي رجالي HK02 رمادي 45 - SKU : Mnpr1013-15 - Count: 1 , كوتشي رجالي HK02 الاسود 45 - SKU : Mnpr1013-5 - Count: 1 ,</t>
  </si>
  <si>
    <t>مجدى أحمد -</t>
  </si>
  <si>
    <t>+201006630294</t>
  </si>
  <si>
    <t>52733201</t>
  </si>
  <si>
    <t>now-1052314</t>
  </si>
  <si>
    <t>كوتشي حريمي MKF-02 (Nowshoes) رمادي 39 - SKU : mnpr872-13 - Count: 1 ,</t>
  </si>
  <si>
    <t>عزه إبراهيم -</t>
  </si>
  <si>
    <t>+201093246836</t>
  </si>
  <si>
    <t>40495325</t>
  </si>
  <si>
    <t>now-1052233</t>
  </si>
  <si>
    <t>كوتشي رجالي HK02 الاسود 43 - SKU : Mnpr1013-3 - Count: 1 , كوتشي رجالي HK02 رمادي 43 - SKU : Mnpr1013-13 - Count: 1 , كوتشي رجالي HK02 ابيض 43 - SKU : Mnpr1013-8 - Count: 1 ,</t>
  </si>
  <si>
    <t>وائل سيف -</t>
  </si>
  <si>
    <t>+201222147146</t>
  </si>
  <si>
    <t>86602810</t>
  </si>
  <si>
    <t>now-1051665</t>
  </si>
  <si>
    <t>محمود الششتاوي -</t>
  </si>
  <si>
    <t>+201090285772</t>
  </si>
  <si>
    <t>Monufia</t>
  </si>
  <si>
    <t>29366372</t>
  </si>
  <si>
    <t>now-1051910</t>
  </si>
  <si>
    <t>عبدالمنعم الحجر -</t>
  </si>
  <si>
    <t>+201007237677</t>
  </si>
  <si>
    <t>33216881</t>
  </si>
  <si>
    <t>now-1052529</t>
  </si>
  <si>
    <t>محمد سعيد -</t>
  </si>
  <si>
    <t>+201080134601</t>
  </si>
  <si>
    <t>35495102</t>
  </si>
  <si>
    <t>now-1051927</t>
  </si>
  <si>
    <t>عبدالله رمضان -</t>
  </si>
  <si>
    <t>+201015757805</t>
  </si>
  <si>
    <t>48318855</t>
  </si>
  <si>
    <t>now-1051830</t>
  </si>
  <si>
    <t>Abdelrhman Hammad -</t>
  </si>
  <si>
    <t>+201033560782</t>
  </si>
  <si>
    <t>89390210</t>
  </si>
  <si>
    <t>now-1051871</t>
  </si>
  <si>
    <t>كوتشي رجالي HK02 رمادي 44 - SKU : Mnpr1013-14 - Count: 1 ,</t>
  </si>
  <si>
    <t>سيف الدين -</t>
  </si>
  <si>
    <t>+201021779581</t>
  </si>
  <si>
    <t>72595242</t>
  </si>
  <si>
    <t>now-1052531</t>
  </si>
  <si>
    <t>كوتشي رجالي HK02 الاسود 41 - SKU : Mnpr1013-1 - Count: 1 ,</t>
  </si>
  <si>
    <t>فادي بكر -</t>
  </si>
  <si>
    <t>+201027391800</t>
  </si>
  <si>
    <t>59567800</t>
  </si>
  <si>
    <t>now-1052318</t>
  </si>
  <si>
    <t>كوتشي حريمي MKF-02 (Nowshoes) ابيض 41 - SKU : mnpr872-10 - Count: 2 ,</t>
  </si>
  <si>
    <t>ماري عادل -</t>
  </si>
  <si>
    <t>+201285341760</t>
  </si>
  <si>
    <t>Qena</t>
  </si>
  <si>
    <t>83041936</t>
  </si>
  <si>
    <t>now-1051896</t>
  </si>
  <si>
    <t>Anas Ahmed -</t>
  </si>
  <si>
    <t>+201156527440</t>
  </si>
  <si>
    <t>25474040</t>
  </si>
  <si>
    <t>now-1051897</t>
  </si>
  <si>
    <t>كوتشي رجالي HK02 رمادي 42 - SKU : Mnpr1013-12 - Count: 1 ,</t>
  </si>
  <si>
    <t>بسام احمد -</t>
  </si>
  <si>
    <t>+201102306050</t>
  </si>
  <si>
    <t>84123159</t>
  </si>
  <si>
    <t>now-1047098</t>
  </si>
  <si>
    <t>هدبر يسري -</t>
  </si>
  <si>
    <t>+201033673635</t>
  </si>
  <si>
    <t>79027338</t>
  </si>
  <si>
    <t>now-1051890</t>
  </si>
  <si>
    <t>Abdo Goda -</t>
  </si>
  <si>
    <t>+201019407665</t>
  </si>
  <si>
    <t>Suez</t>
  </si>
  <si>
    <t>24563602</t>
  </si>
  <si>
    <t>now-1050718</t>
  </si>
  <si>
    <t>Seif Taher -</t>
  </si>
  <si>
    <t>+201115261994</t>
  </si>
  <si>
    <t>28605608</t>
  </si>
  <si>
    <t>now-1051864</t>
  </si>
  <si>
    <t>محمد سمير -</t>
  </si>
  <si>
    <t>+201026813577</t>
  </si>
  <si>
    <t>South Sinai</t>
  </si>
  <si>
    <t>100.00</t>
  </si>
  <si>
    <t>14.00</t>
  </si>
  <si>
    <t>مودييلات</t>
  </si>
  <si>
    <t>MKF02</t>
  </si>
  <si>
    <t>HK02</t>
  </si>
  <si>
    <t>الموديل</t>
  </si>
  <si>
    <t>MK06</t>
  </si>
  <si>
    <t>سعر التوريد</t>
  </si>
  <si>
    <t>اجمالي القطع</t>
  </si>
  <si>
    <t>اجمالي المبلغ</t>
  </si>
  <si>
    <t>التحصيل</t>
  </si>
  <si>
    <t>المبلغ لقطع التوريد</t>
  </si>
  <si>
    <t>إجمالي مصاريف الشحن</t>
  </si>
  <si>
    <t>إجمالي مصاريف المرتجع</t>
  </si>
  <si>
    <t>المبلغ المستحق</t>
  </si>
  <si>
    <t>تقفيل تحصيل يوم الاحد 14.12.2025</t>
  </si>
  <si>
    <t>عدد القطع</t>
  </si>
  <si>
    <t>استحقاق المصنع</t>
  </si>
  <si>
    <t>قطع تسليم بوسطة من توريد يوم الاحد 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</si>
</sst>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0" xfId="0" applyNumberFormat="1" applyFont="1"/>
    <xf numFmtId="0" fontId="6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opLeftCell="R19" workbookViewId="0">
      <selection activeCell="AF1" sqref="AF1:AF1048576"/>
    </sheetView>
  </sheetViews>
  <sheetFormatPr defaultRowHeight="15" x14ac:dyDescent="0.25"/>
  <sheetData>
    <row r="1" spans="1:3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7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s="1">
        <v>46000.706900671299</v>
      </c>
      <c r="L2" s="1">
        <v>46000.939322465281</v>
      </c>
      <c r="M2" t="s">
        <v>45</v>
      </c>
      <c r="N2" t="s">
        <v>46</v>
      </c>
      <c r="O2">
        <v>550</v>
      </c>
      <c r="P2">
        <v>0</v>
      </c>
      <c r="Q2" t="s">
        <v>47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49</v>
      </c>
      <c r="AA2">
        <v>0</v>
      </c>
      <c r="AB2" t="s">
        <v>48</v>
      </c>
      <c r="AC2" t="s">
        <v>48</v>
      </c>
      <c r="AD2">
        <v>0</v>
      </c>
      <c r="AE2">
        <v>92.34</v>
      </c>
      <c r="AF2">
        <v>457.65999999999997</v>
      </c>
      <c r="AG2" t="s">
        <v>50</v>
      </c>
      <c r="AH2" s="1">
        <v>46002</v>
      </c>
      <c r="AI2" t="s">
        <v>51</v>
      </c>
    </row>
    <row r="3" spans="1:35" ht="15.75" x14ac:dyDescent="0.25">
      <c r="A3" t="s">
        <v>35</v>
      </c>
      <c r="B3" t="s">
        <v>36</v>
      </c>
      <c r="C3" t="s">
        <v>52</v>
      </c>
      <c r="D3" t="s">
        <v>38</v>
      </c>
      <c r="E3" t="s">
        <v>39</v>
      </c>
      <c r="F3" t="s">
        <v>40</v>
      </c>
      <c r="G3" t="s">
        <v>53</v>
      </c>
      <c r="H3" t="s">
        <v>54</v>
      </c>
      <c r="I3" t="s">
        <v>55</v>
      </c>
      <c r="J3" t="s">
        <v>56</v>
      </c>
      <c r="K3" s="1">
        <v>46000.429868680556</v>
      </c>
      <c r="L3" s="1">
        <v>46000.944680312503</v>
      </c>
      <c r="M3" t="s">
        <v>45</v>
      </c>
      <c r="N3" t="s">
        <v>46</v>
      </c>
      <c r="O3">
        <v>955</v>
      </c>
      <c r="P3">
        <v>0</v>
      </c>
      <c r="Q3" t="s">
        <v>47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49</v>
      </c>
      <c r="AA3">
        <v>0</v>
      </c>
      <c r="AB3" t="s">
        <v>48</v>
      </c>
      <c r="AC3" t="s">
        <v>48</v>
      </c>
      <c r="AD3">
        <v>0</v>
      </c>
      <c r="AE3">
        <v>92.34</v>
      </c>
      <c r="AF3">
        <v>862.66</v>
      </c>
      <c r="AG3" t="s">
        <v>50</v>
      </c>
      <c r="AH3" s="1">
        <v>46002</v>
      </c>
      <c r="AI3" t="s">
        <v>51</v>
      </c>
    </row>
    <row r="4" spans="1:35" ht="15.75" x14ac:dyDescent="0.25">
      <c r="A4" t="s">
        <v>35</v>
      </c>
      <c r="B4" t="s">
        <v>36</v>
      </c>
      <c r="C4" t="s">
        <v>57</v>
      </c>
      <c r="D4" t="s">
        <v>38</v>
      </c>
      <c r="E4" t="s">
        <v>39</v>
      </c>
      <c r="F4" t="s">
        <v>40</v>
      </c>
      <c r="G4" t="s">
        <v>58</v>
      </c>
      <c r="H4" t="s">
        <v>59</v>
      </c>
      <c r="I4" t="s">
        <v>60</v>
      </c>
      <c r="J4" t="s">
        <v>61</v>
      </c>
      <c r="K4" s="1">
        <v>46000.747501377315</v>
      </c>
      <c r="L4" s="1">
        <v>46000.960302025465</v>
      </c>
      <c r="M4" t="s">
        <v>45</v>
      </c>
      <c r="N4" t="s">
        <v>62</v>
      </c>
      <c r="O4">
        <v>530</v>
      </c>
      <c r="P4">
        <v>0</v>
      </c>
      <c r="Q4" t="s">
        <v>63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64</v>
      </c>
      <c r="AA4">
        <v>0</v>
      </c>
      <c r="AB4" t="s">
        <v>48</v>
      </c>
      <c r="AC4" t="s">
        <v>48</v>
      </c>
      <c r="AD4">
        <v>0</v>
      </c>
      <c r="AE4">
        <v>57</v>
      </c>
      <c r="AF4">
        <v>473</v>
      </c>
      <c r="AG4" t="s">
        <v>50</v>
      </c>
      <c r="AH4" s="1">
        <v>46002</v>
      </c>
      <c r="AI4" t="s">
        <v>51</v>
      </c>
    </row>
    <row r="5" spans="1:35" ht="15.75" x14ac:dyDescent="0.25">
      <c r="A5" t="s">
        <v>35</v>
      </c>
      <c r="B5" t="s">
        <v>36</v>
      </c>
      <c r="C5" t="s">
        <v>65</v>
      </c>
      <c r="D5" t="s">
        <v>38</v>
      </c>
      <c r="E5" t="s">
        <v>39</v>
      </c>
      <c r="F5" t="s">
        <v>40</v>
      </c>
      <c r="G5" t="s">
        <v>66</v>
      </c>
      <c r="H5" t="s">
        <v>67</v>
      </c>
      <c r="I5" t="s">
        <v>68</v>
      </c>
      <c r="J5" t="s">
        <v>69</v>
      </c>
      <c r="K5" s="1">
        <v>46000.51143337963</v>
      </c>
      <c r="L5" s="1">
        <v>46001.322710613429</v>
      </c>
      <c r="M5" t="s">
        <v>45</v>
      </c>
      <c r="N5" t="s">
        <v>70</v>
      </c>
      <c r="O5">
        <v>530</v>
      </c>
      <c r="P5">
        <v>0</v>
      </c>
      <c r="Q5" t="s">
        <v>71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72</v>
      </c>
      <c r="AA5">
        <v>0</v>
      </c>
      <c r="AB5" t="s">
        <v>48</v>
      </c>
      <c r="AC5" t="s">
        <v>48</v>
      </c>
      <c r="AD5">
        <v>0</v>
      </c>
      <c r="AE5">
        <v>68.400000000000006</v>
      </c>
      <c r="AF5">
        <v>461.6</v>
      </c>
      <c r="AG5" t="s">
        <v>50</v>
      </c>
      <c r="AH5" s="1">
        <v>46005</v>
      </c>
      <c r="AI5" t="s">
        <v>51</v>
      </c>
    </row>
    <row r="6" spans="1:35" ht="15.75" x14ac:dyDescent="0.25">
      <c r="A6" t="s">
        <v>35</v>
      </c>
      <c r="B6" t="s">
        <v>36</v>
      </c>
      <c r="C6" t="s">
        <v>73</v>
      </c>
      <c r="D6" t="s">
        <v>38</v>
      </c>
      <c r="E6" t="s">
        <v>39</v>
      </c>
      <c r="F6" t="s">
        <v>40</v>
      </c>
      <c r="G6" t="s">
        <v>74</v>
      </c>
      <c r="H6" t="s">
        <v>75</v>
      </c>
      <c r="I6" t="s">
        <v>76</v>
      </c>
      <c r="J6" t="s">
        <v>77</v>
      </c>
      <c r="K6" s="1">
        <v>46000.728094317128</v>
      </c>
      <c r="L6" s="1">
        <v>46001.358829583332</v>
      </c>
      <c r="M6" t="s">
        <v>45</v>
      </c>
      <c r="N6" t="s">
        <v>45</v>
      </c>
      <c r="O6">
        <v>560</v>
      </c>
      <c r="P6">
        <v>0</v>
      </c>
      <c r="Q6" t="s">
        <v>71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72</v>
      </c>
      <c r="AA6">
        <v>0</v>
      </c>
      <c r="AB6" t="s">
        <v>48</v>
      </c>
      <c r="AC6" t="s">
        <v>48</v>
      </c>
      <c r="AD6">
        <v>0</v>
      </c>
      <c r="AE6">
        <v>68.400000000000006</v>
      </c>
      <c r="AF6">
        <v>491.6</v>
      </c>
      <c r="AG6" t="s">
        <v>50</v>
      </c>
      <c r="AH6" s="1">
        <v>46005</v>
      </c>
      <c r="AI6" t="s">
        <v>51</v>
      </c>
    </row>
    <row r="7" spans="1:35" ht="15.75" x14ac:dyDescent="0.25">
      <c r="A7" t="s">
        <v>35</v>
      </c>
      <c r="B7" t="s">
        <v>36</v>
      </c>
      <c r="C7" t="s">
        <v>78</v>
      </c>
      <c r="D7" t="s">
        <v>38</v>
      </c>
      <c r="E7" t="s">
        <v>39</v>
      </c>
      <c r="F7" t="s">
        <v>40</v>
      </c>
      <c r="G7" t="s">
        <v>79</v>
      </c>
      <c r="H7" t="s">
        <v>59</v>
      </c>
      <c r="I7" t="s">
        <v>80</v>
      </c>
      <c r="J7" t="s">
        <v>81</v>
      </c>
      <c r="K7" s="1">
        <v>46000.608616724538</v>
      </c>
      <c r="L7" s="1">
        <v>46001.403433240739</v>
      </c>
      <c r="M7" t="s">
        <v>45</v>
      </c>
      <c r="N7" t="s">
        <v>82</v>
      </c>
      <c r="O7">
        <v>550</v>
      </c>
      <c r="P7">
        <v>0</v>
      </c>
      <c r="Q7" t="s">
        <v>71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72</v>
      </c>
      <c r="AA7">
        <v>0</v>
      </c>
      <c r="AB7" t="s">
        <v>48</v>
      </c>
      <c r="AC7" t="s">
        <v>48</v>
      </c>
      <c r="AD7">
        <v>0</v>
      </c>
      <c r="AE7">
        <v>68.400000000000006</v>
      </c>
      <c r="AF7">
        <v>481.6</v>
      </c>
      <c r="AG7" t="s">
        <v>50</v>
      </c>
      <c r="AH7" s="1">
        <v>46005</v>
      </c>
      <c r="AI7" t="s">
        <v>51</v>
      </c>
    </row>
    <row r="8" spans="1:35" ht="15.75" x14ac:dyDescent="0.25">
      <c r="A8" t="s">
        <v>35</v>
      </c>
      <c r="B8" t="s">
        <v>36</v>
      </c>
      <c r="C8" t="s">
        <v>83</v>
      </c>
      <c r="D8" t="s">
        <v>38</v>
      </c>
      <c r="E8" t="s">
        <v>39</v>
      </c>
      <c r="F8" t="s">
        <v>40</v>
      </c>
      <c r="G8" t="s">
        <v>84</v>
      </c>
      <c r="H8" t="s">
        <v>85</v>
      </c>
      <c r="I8" t="s">
        <v>86</v>
      </c>
      <c r="J8" t="s">
        <v>87</v>
      </c>
      <c r="K8" s="1">
        <v>46001.409834583334</v>
      </c>
      <c r="L8" s="1">
        <v>46001.557950740738</v>
      </c>
      <c r="M8" t="s">
        <v>45</v>
      </c>
      <c r="N8" t="s">
        <v>88</v>
      </c>
      <c r="O8">
        <v>600</v>
      </c>
      <c r="P8">
        <v>0</v>
      </c>
      <c r="Q8" t="s">
        <v>89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90</v>
      </c>
      <c r="AA8">
        <v>0</v>
      </c>
      <c r="AB8" t="s">
        <v>48</v>
      </c>
      <c r="AC8" t="s">
        <v>48</v>
      </c>
      <c r="AD8">
        <v>0</v>
      </c>
      <c r="AE8">
        <v>80.94</v>
      </c>
      <c r="AF8">
        <v>519.05999999999995</v>
      </c>
      <c r="AG8" t="s">
        <v>50</v>
      </c>
      <c r="AH8" s="1">
        <v>46005</v>
      </c>
      <c r="AI8" t="s">
        <v>51</v>
      </c>
    </row>
    <row r="9" spans="1:35" ht="15.75" x14ac:dyDescent="0.25">
      <c r="A9" t="s">
        <v>35</v>
      </c>
      <c r="B9" t="s">
        <v>36</v>
      </c>
      <c r="C9" t="s">
        <v>91</v>
      </c>
      <c r="D9" t="s">
        <v>38</v>
      </c>
      <c r="E9" t="s">
        <v>39</v>
      </c>
      <c r="F9" t="s">
        <v>40</v>
      </c>
      <c r="G9" t="s">
        <v>92</v>
      </c>
      <c r="H9" t="s">
        <v>93</v>
      </c>
      <c r="I9" t="s">
        <v>94</v>
      </c>
      <c r="J9" t="s">
        <v>95</v>
      </c>
      <c r="K9" s="1">
        <v>46001.41955810185</v>
      </c>
      <c r="L9" s="1">
        <v>46001.586562152777</v>
      </c>
      <c r="M9" t="s">
        <v>45</v>
      </c>
      <c r="N9" t="s">
        <v>96</v>
      </c>
      <c r="O9">
        <v>575</v>
      </c>
      <c r="P9">
        <v>0</v>
      </c>
      <c r="Q9" t="s">
        <v>63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64</v>
      </c>
      <c r="AA9">
        <v>0</v>
      </c>
      <c r="AB9" t="s">
        <v>48</v>
      </c>
      <c r="AC9" t="s">
        <v>48</v>
      </c>
      <c r="AD9">
        <v>0</v>
      </c>
      <c r="AE9">
        <v>57</v>
      </c>
      <c r="AF9">
        <v>518</v>
      </c>
      <c r="AG9" t="s">
        <v>50</v>
      </c>
      <c r="AH9" s="1">
        <v>46005</v>
      </c>
      <c r="AI9" t="s">
        <v>51</v>
      </c>
    </row>
    <row r="10" spans="1:35" ht="15.75" x14ac:dyDescent="0.25">
      <c r="A10" t="s">
        <v>35</v>
      </c>
      <c r="B10" t="s">
        <v>36</v>
      </c>
      <c r="C10" t="s">
        <v>97</v>
      </c>
      <c r="D10" t="s">
        <v>38</v>
      </c>
      <c r="E10" t="s">
        <v>39</v>
      </c>
      <c r="F10" t="s">
        <v>40</v>
      </c>
      <c r="G10" t="s">
        <v>98</v>
      </c>
      <c r="H10" t="s">
        <v>99</v>
      </c>
      <c r="I10" t="s">
        <v>100</v>
      </c>
      <c r="J10" t="s">
        <v>101</v>
      </c>
      <c r="K10" s="1">
        <v>46001.572808611112</v>
      </c>
      <c r="L10" s="1">
        <v>46001.615809826391</v>
      </c>
      <c r="M10" t="s">
        <v>45</v>
      </c>
      <c r="N10" t="s">
        <v>102</v>
      </c>
      <c r="O10">
        <v>430</v>
      </c>
      <c r="P10">
        <v>0</v>
      </c>
      <c r="Q10" t="s">
        <v>103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104</v>
      </c>
      <c r="AA10">
        <v>0</v>
      </c>
      <c r="AB10" t="s">
        <v>48</v>
      </c>
      <c r="AC10" t="s">
        <v>48</v>
      </c>
      <c r="AD10">
        <v>0</v>
      </c>
      <c r="AE10">
        <v>61.56</v>
      </c>
      <c r="AF10">
        <v>368.44</v>
      </c>
      <c r="AG10" t="s">
        <v>50</v>
      </c>
      <c r="AH10" s="1">
        <v>46005</v>
      </c>
      <c r="AI10" t="s">
        <v>51</v>
      </c>
    </row>
    <row r="11" spans="1:35" ht="15.75" x14ac:dyDescent="0.25">
      <c r="A11" t="s">
        <v>35</v>
      </c>
      <c r="B11" t="s">
        <v>36</v>
      </c>
      <c r="C11" t="s">
        <v>105</v>
      </c>
      <c r="D11" t="s">
        <v>38</v>
      </c>
      <c r="E11" t="s">
        <v>39</v>
      </c>
      <c r="F11" t="s">
        <v>40</v>
      </c>
      <c r="G11" t="s">
        <v>106</v>
      </c>
      <c r="H11" t="s">
        <v>93</v>
      </c>
      <c r="I11" t="s">
        <v>107</v>
      </c>
      <c r="J11" t="s">
        <v>108</v>
      </c>
      <c r="K11" s="1">
        <v>46001.569510370369</v>
      </c>
      <c r="L11" s="1">
        <v>46001.628261874997</v>
      </c>
      <c r="M11" t="s">
        <v>45</v>
      </c>
      <c r="N11" t="s">
        <v>62</v>
      </c>
      <c r="O11">
        <v>575</v>
      </c>
      <c r="P11">
        <v>0</v>
      </c>
      <c r="Q11" t="s">
        <v>63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64</v>
      </c>
      <c r="AA11">
        <v>0</v>
      </c>
      <c r="AB11" t="s">
        <v>48</v>
      </c>
      <c r="AC11" t="s">
        <v>48</v>
      </c>
      <c r="AD11">
        <v>0</v>
      </c>
      <c r="AE11">
        <v>57</v>
      </c>
      <c r="AF11">
        <v>518</v>
      </c>
      <c r="AG11" t="s">
        <v>50</v>
      </c>
      <c r="AH11" s="1">
        <v>46005</v>
      </c>
      <c r="AI11" t="s">
        <v>51</v>
      </c>
    </row>
    <row r="12" spans="1:35" ht="15.75" x14ac:dyDescent="0.25">
      <c r="A12" t="s">
        <v>35</v>
      </c>
      <c r="B12" t="s">
        <v>36</v>
      </c>
      <c r="C12" t="s">
        <v>109</v>
      </c>
      <c r="D12" t="s">
        <v>38</v>
      </c>
      <c r="E12" t="s">
        <v>39</v>
      </c>
      <c r="F12" t="s">
        <v>40</v>
      </c>
      <c r="G12" t="s">
        <v>110</v>
      </c>
      <c r="H12" t="s">
        <v>111</v>
      </c>
      <c r="I12" t="s">
        <v>112</v>
      </c>
      <c r="J12" t="s">
        <v>113</v>
      </c>
      <c r="K12" s="1">
        <v>46001.625085312502</v>
      </c>
      <c r="L12" s="1">
        <v>46001.644775208333</v>
      </c>
      <c r="M12" t="s">
        <v>45</v>
      </c>
      <c r="N12" t="s">
        <v>96</v>
      </c>
      <c r="O12">
        <v>575</v>
      </c>
      <c r="P12">
        <v>0</v>
      </c>
      <c r="Q12" t="s">
        <v>63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64</v>
      </c>
      <c r="AA12">
        <v>0</v>
      </c>
      <c r="AB12" t="s">
        <v>48</v>
      </c>
      <c r="AC12" t="s">
        <v>48</v>
      </c>
      <c r="AD12">
        <v>0</v>
      </c>
      <c r="AE12">
        <v>57</v>
      </c>
      <c r="AF12">
        <v>518</v>
      </c>
      <c r="AG12" t="s">
        <v>50</v>
      </c>
      <c r="AH12" s="1">
        <v>46005</v>
      </c>
      <c r="AI12" t="s">
        <v>51</v>
      </c>
    </row>
    <row r="13" spans="1:35" ht="15.75" x14ac:dyDescent="0.25">
      <c r="A13" t="s">
        <v>35</v>
      </c>
      <c r="B13" t="s">
        <v>36</v>
      </c>
      <c r="C13" t="s">
        <v>114</v>
      </c>
      <c r="D13" t="s">
        <v>38</v>
      </c>
      <c r="E13" t="s">
        <v>39</v>
      </c>
      <c r="F13" t="s">
        <v>40</v>
      </c>
      <c r="G13" t="s">
        <v>115</v>
      </c>
      <c r="H13" t="s">
        <v>116</v>
      </c>
      <c r="I13" t="s">
        <v>117</v>
      </c>
      <c r="J13" t="s">
        <v>118</v>
      </c>
      <c r="K13" s="1">
        <v>46001.354024953704</v>
      </c>
      <c r="L13" s="1">
        <v>46001.644953483796</v>
      </c>
      <c r="M13" t="s">
        <v>45</v>
      </c>
      <c r="N13" t="s">
        <v>62</v>
      </c>
      <c r="O13">
        <v>575</v>
      </c>
      <c r="P13">
        <v>0</v>
      </c>
      <c r="Q13" t="s">
        <v>63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64</v>
      </c>
      <c r="AA13">
        <v>0</v>
      </c>
      <c r="AB13" t="s">
        <v>48</v>
      </c>
      <c r="AC13" t="s">
        <v>48</v>
      </c>
      <c r="AD13">
        <v>0</v>
      </c>
      <c r="AE13">
        <v>57</v>
      </c>
      <c r="AF13">
        <v>518</v>
      </c>
      <c r="AG13" t="s">
        <v>50</v>
      </c>
      <c r="AH13" s="1">
        <v>46005</v>
      </c>
      <c r="AI13" t="s">
        <v>51</v>
      </c>
    </row>
    <row r="14" spans="1:35" ht="15.75" x14ac:dyDescent="0.25">
      <c r="A14" t="s">
        <v>35</v>
      </c>
      <c r="B14" t="s">
        <v>36</v>
      </c>
      <c r="C14" t="s">
        <v>119</v>
      </c>
      <c r="D14" t="s">
        <v>38</v>
      </c>
      <c r="E14" t="s">
        <v>39</v>
      </c>
      <c r="F14" t="s">
        <v>40</v>
      </c>
      <c r="G14" t="s">
        <v>120</v>
      </c>
      <c r="H14" t="s">
        <v>42</v>
      </c>
      <c r="I14" t="s">
        <v>121</v>
      </c>
      <c r="J14" t="s">
        <v>122</v>
      </c>
      <c r="K14" s="1">
        <v>46001.302011180553</v>
      </c>
      <c r="L14" s="1">
        <v>46001.658502546299</v>
      </c>
      <c r="M14" t="s">
        <v>45</v>
      </c>
      <c r="N14" t="s">
        <v>62</v>
      </c>
      <c r="O14">
        <v>575</v>
      </c>
      <c r="P14">
        <v>0</v>
      </c>
      <c r="Q14" t="s">
        <v>63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64</v>
      </c>
      <c r="AA14">
        <v>0</v>
      </c>
      <c r="AB14" t="s">
        <v>48</v>
      </c>
      <c r="AC14" t="s">
        <v>48</v>
      </c>
      <c r="AD14">
        <v>0</v>
      </c>
      <c r="AE14">
        <v>57</v>
      </c>
      <c r="AF14">
        <v>518</v>
      </c>
      <c r="AG14" t="s">
        <v>50</v>
      </c>
      <c r="AH14" s="1">
        <v>46005</v>
      </c>
      <c r="AI14" t="s">
        <v>51</v>
      </c>
    </row>
    <row r="15" spans="1:35" ht="15.75" x14ac:dyDescent="0.25">
      <c r="A15" t="s">
        <v>35</v>
      </c>
      <c r="B15" t="s">
        <v>36</v>
      </c>
      <c r="C15" t="s">
        <v>123</v>
      </c>
      <c r="D15" t="s">
        <v>38</v>
      </c>
      <c r="E15" t="s">
        <v>39</v>
      </c>
      <c r="F15" t="s">
        <v>40</v>
      </c>
      <c r="G15" t="s">
        <v>124</v>
      </c>
      <c r="H15" t="s">
        <v>93</v>
      </c>
      <c r="I15" t="s">
        <v>125</v>
      </c>
      <c r="J15" t="s">
        <v>126</v>
      </c>
      <c r="K15" s="1">
        <v>46001.555806793978</v>
      </c>
      <c r="L15" s="1">
        <v>46001.703030590281</v>
      </c>
      <c r="M15" t="s">
        <v>45</v>
      </c>
      <c r="N15" t="s">
        <v>127</v>
      </c>
      <c r="O15">
        <v>0</v>
      </c>
      <c r="P15">
        <v>575</v>
      </c>
      <c r="Q15" t="s">
        <v>89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90</v>
      </c>
      <c r="AA15">
        <v>0</v>
      </c>
      <c r="AB15" t="s">
        <v>48</v>
      </c>
      <c r="AC15" t="s">
        <v>48</v>
      </c>
      <c r="AD15">
        <v>0</v>
      </c>
      <c r="AE15">
        <v>80.94</v>
      </c>
      <c r="AF15">
        <v>494.06</v>
      </c>
      <c r="AG15" t="s">
        <v>50</v>
      </c>
      <c r="AH15" s="1">
        <v>46005</v>
      </c>
      <c r="AI15" t="s">
        <v>51</v>
      </c>
    </row>
    <row r="16" spans="1:35" ht="15.75" x14ac:dyDescent="0.25">
      <c r="A16" t="s">
        <v>35</v>
      </c>
      <c r="B16" t="s">
        <v>36</v>
      </c>
      <c r="C16" t="s">
        <v>128</v>
      </c>
      <c r="D16" t="s">
        <v>38</v>
      </c>
      <c r="E16" t="s">
        <v>39</v>
      </c>
      <c r="F16" t="s">
        <v>40</v>
      </c>
      <c r="G16" t="s">
        <v>129</v>
      </c>
      <c r="H16" t="s">
        <v>130</v>
      </c>
      <c r="I16" t="s">
        <v>131</v>
      </c>
      <c r="J16" t="s">
        <v>132</v>
      </c>
      <c r="K16" s="1">
        <v>46001.418164131945</v>
      </c>
      <c r="L16" s="1">
        <v>46001.704546284724</v>
      </c>
      <c r="M16" t="s">
        <v>45</v>
      </c>
      <c r="N16" t="s">
        <v>96</v>
      </c>
      <c r="O16">
        <v>530</v>
      </c>
      <c r="P16">
        <v>0</v>
      </c>
      <c r="Q16" t="s">
        <v>63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64</v>
      </c>
      <c r="AA16">
        <v>0</v>
      </c>
      <c r="AB16" t="s">
        <v>48</v>
      </c>
      <c r="AC16" t="s">
        <v>48</v>
      </c>
      <c r="AD16">
        <v>0</v>
      </c>
      <c r="AE16">
        <v>57</v>
      </c>
      <c r="AF16">
        <v>473</v>
      </c>
      <c r="AG16" t="s">
        <v>50</v>
      </c>
      <c r="AH16" s="1">
        <v>46005</v>
      </c>
      <c r="AI16" t="s">
        <v>51</v>
      </c>
    </row>
    <row r="17" spans="1:35" ht="15.75" x14ac:dyDescent="0.25">
      <c r="A17" t="s">
        <v>35</v>
      </c>
      <c r="B17" t="s">
        <v>36</v>
      </c>
      <c r="C17" t="s">
        <v>133</v>
      </c>
      <c r="D17" t="s">
        <v>38</v>
      </c>
      <c r="E17" t="s">
        <v>39</v>
      </c>
      <c r="F17" t="s">
        <v>40</v>
      </c>
      <c r="G17" t="s">
        <v>134</v>
      </c>
      <c r="H17" t="s">
        <v>111</v>
      </c>
      <c r="I17" t="s">
        <v>135</v>
      </c>
      <c r="J17" t="s">
        <v>136</v>
      </c>
      <c r="K17" s="1">
        <v>46001.498587581016</v>
      </c>
      <c r="L17" s="1">
        <v>46001.706624733793</v>
      </c>
      <c r="M17" t="s">
        <v>45</v>
      </c>
      <c r="N17" t="s">
        <v>62</v>
      </c>
      <c r="O17">
        <v>510</v>
      </c>
      <c r="P17">
        <v>0</v>
      </c>
      <c r="Q17" t="s">
        <v>63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64</v>
      </c>
      <c r="AA17">
        <v>0</v>
      </c>
      <c r="AB17" t="s">
        <v>48</v>
      </c>
      <c r="AC17" t="s">
        <v>48</v>
      </c>
      <c r="AD17">
        <v>0</v>
      </c>
      <c r="AE17">
        <v>57</v>
      </c>
      <c r="AF17">
        <v>453</v>
      </c>
      <c r="AG17" t="s">
        <v>50</v>
      </c>
      <c r="AH17" s="1">
        <v>46005</v>
      </c>
      <c r="AI17" t="s">
        <v>51</v>
      </c>
    </row>
    <row r="18" spans="1:35" ht="15.75" x14ac:dyDescent="0.25">
      <c r="A18" t="s">
        <v>35</v>
      </c>
      <c r="B18" t="s">
        <v>36</v>
      </c>
      <c r="C18" t="s">
        <v>137</v>
      </c>
      <c r="D18" t="s">
        <v>38</v>
      </c>
      <c r="E18" t="s">
        <v>39</v>
      </c>
      <c r="F18" t="s">
        <v>40</v>
      </c>
      <c r="G18" t="s">
        <v>138</v>
      </c>
      <c r="H18" t="s">
        <v>139</v>
      </c>
      <c r="I18" t="s">
        <v>140</v>
      </c>
      <c r="J18" t="s">
        <v>141</v>
      </c>
      <c r="K18" s="1">
        <v>46001.624172662036</v>
      </c>
      <c r="L18" s="1">
        <v>46001.708934178241</v>
      </c>
      <c r="M18" t="s">
        <v>45</v>
      </c>
      <c r="N18" t="s">
        <v>62</v>
      </c>
      <c r="O18">
        <v>990</v>
      </c>
      <c r="P18">
        <v>0</v>
      </c>
      <c r="Q18" t="s">
        <v>63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64</v>
      </c>
      <c r="AA18">
        <v>0</v>
      </c>
      <c r="AB18" t="s">
        <v>48</v>
      </c>
      <c r="AC18" t="s">
        <v>48</v>
      </c>
      <c r="AD18">
        <v>0</v>
      </c>
      <c r="AE18">
        <v>57</v>
      </c>
      <c r="AF18">
        <v>933</v>
      </c>
      <c r="AG18" t="s">
        <v>50</v>
      </c>
      <c r="AH18" s="1">
        <v>46005</v>
      </c>
      <c r="AI18" t="s">
        <v>51</v>
      </c>
    </row>
    <row r="19" spans="1:35" ht="15.75" x14ac:dyDescent="0.25">
      <c r="A19" t="s">
        <v>35</v>
      </c>
      <c r="B19" t="s">
        <v>36</v>
      </c>
      <c r="C19" t="s">
        <v>142</v>
      </c>
      <c r="D19" t="s">
        <v>38</v>
      </c>
      <c r="E19" t="s">
        <v>39</v>
      </c>
      <c r="F19" t="s">
        <v>40</v>
      </c>
      <c r="G19" t="s">
        <v>143</v>
      </c>
      <c r="H19" t="s">
        <v>144</v>
      </c>
      <c r="I19" t="s">
        <v>145</v>
      </c>
      <c r="J19" t="s">
        <v>146</v>
      </c>
      <c r="K19" s="1">
        <v>46001.564779143519</v>
      </c>
      <c r="L19" s="1">
        <v>46001.721085254627</v>
      </c>
      <c r="M19" t="s">
        <v>45</v>
      </c>
      <c r="N19" t="s">
        <v>147</v>
      </c>
      <c r="O19">
        <v>550</v>
      </c>
      <c r="P19">
        <v>0</v>
      </c>
      <c r="Q19" t="s">
        <v>89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90</v>
      </c>
      <c r="AA19">
        <v>0</v>
      </c>
      <c r="AB19" t="s">
        <v>48</v>
      </c>
      <c r="AC19" t="s">
        <v>48</v>
      </c>
      <c r="AD19">
        <v>0</v>
      </c>
      <c r="AE19">
        <v>80.94</v>
      </c>
      <c r="AF19">
        <v>469.06</v>
      </c>
      <c r="AG19" t="s">
        <v>50</v>
      </c>
      <c r="AH19" s="1">
        <v>46005</v>
      </c>
      <c r="AI19" t="s">
        <v>51</v>
      </c>
    </row>
    <row r="20" spans="1:35" ht="15.75" x14ac:dyDescent="0.25">
      <c r="A20" t="s">
        <v>35</v>
      </c>
      <c r="B20" t="s">
        <v>36</v>
      </c>
      <c r="C20" t="s">
        <v>148</v>
      </c>
      <c r="D20" t="s">
        <v>38</v>
      </c>
      <c r="E20" t="s">
        <v>39</v>
      </c>
      <c r="F20" t="s">
        <v>40</v>
      </c>
      <c r="G20" t="s">
        <v>149</v>
      </c>
      <c r="H20" t="s">
        <v>75</v>
      </c>
      <c r="I20" t="s">
        <v>150</v>
      </c>
      <c r="J20" t="s">
        <v>151</v>
      </c>
      <c r="K20" s="1">
        <v>46001.602389722226</v>
      </c>
      <c r="L20" s="1">
        <v>46001.721800115738</v>
      </c>
      <c r="M20" t="s">
        <v>45</v>
      </c>
      <c r="N20" t="s">
        <v>96</v>
      </c>
      <c r="O20">
        <v>575</v>
      </c>
      <c r="P20">
        <v>0</v>
      </c>
      <c r="Q20" t="s">
        <v>63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64</v>
      </c>
      <c r="AA20">
        <v>0</v>
      </c>
      <c r="AB20" t="s">
        <v>48</v>
      </c>
      <c r="AC20" t="s">
        <v>48</v>
      </c>
      <c r="AD20">
        <v>0</v>
      </c>
      <c r="AE20">
        <v>57</v>
      </c>
      <c r="AF20">
        <v>518</v>
      </c>
      <c r="AG20" t="s">
        <v>50</v>
      </c>
      <c r="AH20" s="1">
        <v>46005</v>
      </c>
      <c r="AI20" t="s">
        <v>51</v>
      </c>
    </row>
    <row r="21" spans="1:35" ht="15.75" x14ac:dyDescent="0.25">
      <c r="A21" t="s">
        <v>35</v>
      </c>
      <c r="B21" t="s">
        <v>36</v>
      </c>
      <c r="C21" t="s">
        <v>152</v>
      </c>
      <c r="D21" t="s">
        <v>38</v>
      </c>
      <c r="E21" t="s">
        <v>39</v>
      </c>
      <c r="F21" t="s">
        <v>40</v>
      </c>
      <c r="G21" t="s">
        <v>153</v>
      </c>
      <c r="H21" t="s">
        <v>154</v>
      </c>
      <c r="I21" t="s">
        <v>155</v>
      </c>
      <c r="J21" t="s">
        <v>156</v>
      </c>
      <c r="K21" s="1">
        <v>46001.464827847223</v>
      </c>
      <c r="L21" s="1">
        <v>46001.730049675927</v>
      </c>
      <c r="M21" t="s">
        <v>45</v>
      </c>
      <c r="N21" t="s">
        <v>62</v>
      </c>
      <c r="O21">
        <v>550</v>
      </c>
      <c r="P21">
        <v>0</v>
      </c>
      <c r="Q21" t="s">
        <v>63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64</v>
      </c>
      <c r="AA21">
        <v>0</v>
      </c>
      <c r="AB21" t="s">
        <v>48</v>
      </c>
      <c r="AC21" t="s">
        <v>48</v>
      </c>
      <c r="AD21">
        <v>0</v>
      </c>
      <c r="AE21">
        <v>57</v>
      </c>
      <c r="AF21">
        <v>493</v>
      </c>
      <c r="AG21" t="s">
        <v>50</v>
      </c>
      <c r="AH21" s="1">
        <v>46005</v>
      </c>
      <c r="AI21" t="s">
        <v>51</v>
      </c>
    </row>
    <row r="22" spans="1:35" ht="15.75" x14ac:dyDescent="0.25">
      <c r="A22" t="s">
        <v>35</v>
      </c>
      <c r="B22" t="s">
        <v>36</v>
      </c>
      <c r="C22" t="s">
        <v>157</v>
      </c>
      <c r="D22" t="s">
        <v>38</v>
      </c>
      <c r="E22" t="s">
        <v>39</v>
      </c>
      <c r="F22" t="s">
        <v>40</v>
      </c>
      <c r="G22" t="s">
        <v>158</v>
      </c>
      <c r="H22" t="s">
        <v>42</v>
      </c>
      <c r="I22" t="s">
        <v>159</v>
      </c>
      <c r="J22" t="s">
        <v>160</v>
      </c>
      <c r="K22" s="1">
        <v>46001.539523749998</v>
      </c>
      <c r="L22" s="1">
        <v>46001.730799942132</v>
      </c>
      <c r="M22" t="s">
        <v>45</v>
      </c>
      <c r="N22" t="s">
        <v>45</v>
      </c>
      <c r="O22">
        <v>575</v>
      </c>
      <c r="P22">
        <v>0</v>
      </c>
      <c r="Q22" t="s">
        <v>63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64</v>
      </c>
      <c r="AA22">
        <v>0</v>
      </c>
      <c r="AB22" t="s">
        <v>48</v>
      </c>
      <c r="AC22" t="s">
        <v>48</v>
      </c>
      <c r="AD22">
        <v>0</v>
      </c>
      <c r="AE22">
        <v>57</v>
      </c>
      <c r="AF22">
        <v>518</v>
      </c>
      <c r="AG22" t="s">
        <v>50</v>
      </c>
      <c r="AH22" s="1">
        <v>46005</v>
      </c>
      <c r="AI22" t="s">
        <v>51</v>
      </c>
    </row>
    <row r="23" spans="1:35" ht="15.75" x14ac:dyDescent="0.25">
      <c r="A23" t="s">
        <v>35</v>
      </c>
      <c r="B23" t="s">
        <v>36</v>
      </c>
      <c r="C23" t="s">
        <v>161</v>
      </c>
      <c r="D23" t="s">
        <v>38</v>
      </c>
      <c r="E23" t="s">
        <v>39</v>
      </c>
      <c r="F23" t="s">
        <v>40</v>
      </c>
      <c r="G23" t="s">
        <v>162</v>
      </c>
      <c r="H23" t="s">
        <v>163</v>
      </c>
      <c r="I23" t="s">
        <v>164</v>
      </c>
      <c r="J23" t="s">
        <v>165</v>
      </c>
      <c r="K23" s="1">
        <v>46001.544681851854</v>
      </c>
      <c r="L23" s="1">
        <v>46001.730807268519</v>
      </c>
      <c r="M23" t="s">
        <v>45</v>
      </c>
      <c r="N23" t="s">
        <v>45</v>
      </c>
      <c r="O23">
        <v>575</v>
      </c>
      <c r="P23">
        <v>0</v>
      </c>
      <c r="Q23" t="s">
        <v>63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64</v>
      </c>
      <c r="AA23">
        <v>0</v>
      </c>
      <c r="AB23" t="s">
        <v>48</v>
      </c>
      <c r="AC23" t="s">
        <v>48</v>
      </c>
      <c r="AD23">
        <v>0</v>
      </c>
      <c r="AE23">
        <v>57</v>
      </c>
      <c r="AF23">
        <v>518</v>
      </c>
      <c r="AG23" t="s">
        <v>50</v>
      </c>
      <c r="AH23" s="1">
        <v>46005</v>
      </c>
      <c r="AI23" t="s">
        <v>51</v>
      </c>
    </row>
    <row r="24" spans="1:35" ht="15.75" x14ac:dyDescent="0.25">
      <c r="A24" t="s">
        <v>35</v>
      </c>
      <c r="B24" t="s">
        <v>36</v>
      </c>
      <c r="C24" t="s">
        <v>166</v>
      </c>
      <c r="D24" t="s">
        <v>38</v>
      </c>
      <c r="E24" t="s">
        <v>39</v>
      </c>
      <c r="F24" t="s">
        <v>40</v>
      </c>
      <c r="G24" t="s">
        <v>167</v>
      </c>
      <c r="H24" t="s">
        <v>75</v>
      </c>
      <c r="I24" t="s">
        <v>168</v>
      </c>
      <c r="J24" t="s">
        <v>169</v>
      </c>
      <c r="K24" s="1">
        <v>46001.6589971875</v>
      </c>
      <c r="L24" s="1">
        <v>46001.731467858794</v>
      </c>
      <c r="M24" t="s">
        <v>45</v>
      </c>
      <c r="N24" t="s">
        <v>96</v>
      </c>
      <c r="O24">
        <v>560</v>
      </c>
      <c r="P24">
        <v>0</v>
      </c>
      <c r="Q24" t="s">
        <v>63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64</v>
      </c>
      <c r="AA24">
        <v>0</v>
      </c>
      <c r="AB24" t="s">
        <v>48</v>
      </c>
      <c r="AC24" t="s">
        <v>48</v>
      </c>
      <c r="AD24">
        <v>0</v>
      </c>
      <c r="AE24">
        <v>57</v>
      </c>
      <c r="AF24">
        <v>503</v>
      </c>
      <c r="AG24" t="s">
        <v>50</v>
      </c>
      <c r="AH24" s="1">
        <v>46005</v>
      </c>
      <c r="AI24" t="s">
        <v>51</v>
      </c>
    </row>
    <row r="25" spans="1:35" ht="15.75" x14ac:dyDescent="0.25">
      <c r="A25" t="s">
        <v>35</v>
      </c>
      <c r="B25" t="s">
        <v>36</v>
      </c>
      <c r="C25" t="s">
        <v>170</v>
      </c>
      <c r="D25" t="s">
        <v>38</v>
      </c>
      <c r="E25" t="s">
        <v>39</v>
      </c>
      <c r="F25" t="s">
        <v>40</v>
      </c>
      <c r="G25" t="s">
        <v>171</v>
      </c>
      <c r="H25" t="s">
        <v>93</v>
      </c>
      <c r="I25" t="s">
        <v>172</v>
      </c>
      <c r="J25" t="s">
        <v>173</v>
      </c>
      <c r="K25" s="1">
        <v>46001.630040208336</v>
      </c>
      <c r="L25" s="1">
        <v>46001.732484050925</v>
      </c>
      <c r="M25" t="s">
        <v>45</v>
      </c>
      <c r="N25" t="s">
        <v>102</v>
      </c>
      <c r="O25">
        <v>575</v>
      </c>
      <c r="P25">
        <v>0</v>
      </c>
      <c r="Q25" t="s">
        <v>103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104</v>
      </c>
      <c r="AA25">
        <v>0</v>
      </c>
      <c r="AB25" t="s">
        <v>48</v>
      </c>
      <c r="AC25" t="s">
        <v>48</v>
      </c>
      <c r="AD25">
        <v>0</v>
      </c>
      <c r="AE25">
        <v>61.56</v>
      </c>
      <c r="AF25">
        <v>513.44000000000005</v>
      </c>
      <c r="AG25" t="s">
        <v>50</v>
      </c>
      <c r="AH25" s="1">
        <v>46005</v>
      </c>
      <c r="AI25" t="s">
        <v>51</v>
      </c>
    </row>
    <row r="26" spans="1:35" ht="15.75" x14ac:dyDescent="0.25">
      <c r="A26" t="s">
        <v>35</v>
      </c>
      <c r="B26" t="s">
        <v>36</v>
      </c>
      <c r="C26" t="s">
        <v>174</v>
      </c>
      <c r="D26" t="s">
        <v>38</v>
      </c>
      <c r="E26" t="s">
        <v>39</v>
      </c>
      <c r="F26" t="s">
        <v>40</v>
      </c>
      <c r="G26" t="s">
        <v>175</v>
      </c>
      <c r="H26" t="s">
        <v>93</v>
      </c>
      <c r="I26" t="s">
        <v>176</v>
      </c>
      <c r="J26" t="s">
        <v>177</v>
      </c>
      <c r="K26" s="1">
        <v>46001.693660243058</v>
      </c>
      <c r="L26" s="1">
        <v>46001.736568657405</v>
      </c>
      <c r="M26" t="s">
        <v>45</v>
      </c>
      <c r="N26" t="s">
        <v>62</v>
      </c>
      <c r="O26">
        <v>575</v>
      </c>
      <c r="P26">
        <v>0</v>
      </c>
      <c r="Q26" t="s">
        <v>63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64</v>
      </c>
      <c r="AA26">
        <v>0</v>
      </c>
      <c r="AB26" t="s">
        <v>48</v>
      </c>
      <c r="AC26" t="s">
        <v>48</v>
      </c>
      <c r="AD26">
        <v>0</v>
      </c>
      <c r="AE26">
        <v>57</v>
      </c>
      <c r="AF26">
        <v>518</v>
      </c>
      <c r="AG26" t="s">
        <v>50</v>
      </c>
      <c r="AH26" s="1">
        <v>46005</v>
      </c>
      <c r="AI26" t="s">
        <v>51</v>
      </c>
    </row>
    <row r="27" spans="1:35" ht="15.75" x14ac:dyDescent="0.25">
      <c r="A27" t="s">
        <v>35</v>
      </c>
      <c r="B27" t="s">
        <v>36</v>
      </c>
      <c r="C27" t="s">
        <v>178</v>
      </c>
      <c r="D27" t="s">
        <v>38</v>
      </c>
      <c r="E27" t="s">
        <v>39</v>
      </c>
      <c r="F27" t="s">
        <v>40</v>
      </c>
      <c r="G27" t="s">
        <v>179</v>
      </c>
      <c r="H27" t="s">
        <v>180</v>
      </c>
      <c r="I27" t="s">
        <v>181</v>
      </c>
      <c r="J27" t="s">
        <v>182</v>
      </c>
      <c r="K27" s="1">
        <v>46001.556698599539</v>
      </c>
      <c r="L27" s="1">
        <v>46001.758433518517</v>
      </c>
      <c r="M27" t="s">
        <v>45</v>
      </c>
      <c r="N27" t="s">
        <v>183</v>
      </c>
      <c r="O27">
        <v>575</v>
      </c>
      <c r="P27">
        <v>0</v>
      </c>
      <c r="Q27" t="s">
        <v>103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104</v>
      </c>
      <c r="AA27">
        <v>0</v>
      </c>
      <c r="AB27" t="s">
        <v>48</v>
      </c>
      <c r="AC27" t="s">
        <v>48</v>
      </c>
      <c r="AD27">
        <v>0</v>
      </c>
      <c r="AE27">
        <v>61.56</v>
      </c>
      <c r="AF27">
        <v>513.44000000000005</v>
      </c>
      <c r="AG27" t="s">
        <v>50</v>
      </c>
      <c r="AH27" s="1">
        <v>46005</v>
      </c>
      <c r="AI27" t="s">
        <v>51</v>
      </c>
    </row>
    <row r="28" spans="1:35" ht="15.75" x14ac:dyDescent="0.25">
      <c r="A28" t="s">
        <v>35</v>
      </c>
      <c r="B28" t="s">
        <v>36</v>
      </c>
      <c r="C28" t="s">
        <v>184</v>
      </c>
      <c r="D28" t="s">
        <v>38</v>
      </c>
      <c r="E28" t="s">
        <v>39</v>
      </c>
      <c r="F28" t="s">
        <v>40</v>
      </c>
      <c r="G28" t="s">
        <v>185</v>
      </c>
      <c r="H28" t="s">
        <v>93</v>
      </c>
      <c r="I28" t="s">
        <v>186</v>
      </c>
      <c r="J28" t="s">
        <v>187</v>
      </c>
      <c r="K28" s="1">
        <v>46001.703454097224</v>
      </c>
      <c r="L28" s="1">
        <v>46001.765332476854</v>
      </c>
      <c r="M28" t="s">
        <v>45</v>
      </c>
      <c r="N28" t="s">
        <v>62</v>
      </c>
      <c r="O28">
        <v>575</v>
      </c>
      <c r="P28">
        <v>0</v>
      </c>
      <c r="Q28" t="s">
        <v>63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64</v>
      </c>
      <c r="AA28">
        <v>0</v>
      </c>
      <c r="AB28" t="s">
        <v>48</v>
      </c>
      <c r="AC28" t="s">
        <v>48</v>
      </c>
      <c r="AD28">
        <v>0</v>
      </c>
      <c r="AE28">
        <v>57</v>
      </c>
      <c r="AF28">
        <v>518</v>
      </c>
      <c r="AG28" t="s">
        <v>50</v>
      </c>
      <c r="AH28" s="1">
        <v>46005</v>
      </c>
      <c r="AI28" t="s">
        <v>51</v>
      </c>
    </row>
    <row r="29" spans="1:35" ht="15.75" x14ac:dyDescent="0.25">
      <c r="A29" t="s">
        <v>35</v>
      </c>
      <c r="B29" t="s">
        <v>36</v>
      </c>
      <c r="C29" t="s">
        <v>188</v>
      </c>
      <c r="D29" t="s">
        <v>38</v>
      </c>
      <c r="E29" t="s">
        <v>39</v>
      </c>
      <c r="F29" t="s">
        <v>40</v>
      </c>
      <c r="G29" t="s">
        <v>189</v>
      </c>
      <c r="H29" t="s">
        <v>93</v>
      </c>
      <c r="I29" t="s">
        <v>190</v>
      </c>
      <c r="J29" t="s">
        <v>191</v>
      </c>
      <c r="K29" s="1">
        <v>46001.477486851851</v>
      </c>
      <c r="L29" s="1">
        <v>46001.772611122688</v>
      </c>
      <c r="M29" t="s">
        <v>45</v>
      </c>
      <c r="N29" t="s">
        <v>102</v>
      </c>
      <c r="O29">
        <v>575</v>
      </c>
      <c r="P29">
        <v>0</v>
      </c>
      <c r="Q29" t="s">
        <v>103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104</v>
      </c>
      <c r="AA29">
        <v>0</v>
      </c>
      <c r="AB29" t="s">
        <v>48</v>
      </c>
      <c r="AC29" t="s">
        <v>48</v>
      </c>
      <c r="AD29">
        <v>0</v>
      </c>
      <c r="AE29">
        <v>61.56</v>
      </c>
      <c r="AF29">
        <v>513.44000000000005</v>
      </c>
      <c r="AG29" t="s">
        <v>50</v>
      </c>
      <c r="AH29" s="1">
        <v>46005</v>
      </c>
      <c r="AI29" t="s">
        <v>51</v>
      </c>
    </row>
    <row r="30" spans="1:35" ht="15.75" x14ac:dyDescent="0.25">
      <c r="A30" t="s">
        <v>35</v>
      </c>
      <c r="B30" t="s">
        <v>36</v>
      </c>
      <c r="C30" t="s">
        <v>192</v>
      </c>
      <c r="D30" t="s">
        <v>38</v>
      </c>
      <c r="E30" t="s">
        <v>39</v>
      </c>
      <c r="F30" t="s">
        <v>40</v>
      </c>
      <c r="G30" t="s">
        <v>193</v>
      </c>
      <c r="H30" t="s">
        <v>130</v>
      </c>
      <c r="I30" t="s">
        <v>194</v>
      </c>
      <c r="J30" t="s">
        <v>195</v>
      </c>
      <c r="K30" s="1">
        <v>46001.663219259259</v>
      </c>
      <c r="L30" s="1">
        <v>46001.774104293982</v>
      </c>
      <c r="M30" t="s">
        <v>45</v>
      </c>
      <c r="N30" t="s">
        <v>45</v>
      </c>
      <c r="O30">
        <v>430</v>
      </c>
      <c r="P30">
        <v>0</v>
      </c>
      <c r="Q30" t="s">
        <v>63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64</v>
      </c>
      <c r="AA30">
        <v>0</v>
      </c>
      <c r="AB30" t="s">
        <v>48</v>
      </c>
      <c r="AC30" t="s">
        <v>48</v>
      </c>
      <c r="AD30">
        <v>0</v>
      </c>
      <c r="AE30">
        <v>57</v>
      </c>
      <c r="AF30">
        <v>373</v>
      </c>
      <c r="AG30" t="s">
        <v>50</v>
      </c>
      <c r="AH30" s="1">
        <v>46005</v>
      </c>
      <c r="AI30" t="s">
        <v>51</v>
      </c>
    </row>
    <row r="31" spans="1:35" ht="15.75" x14ac:dyDescent="0.25">
      <c r="A31" t="s">
        <v>35</v>
      </c>
      <c r="B31" t="s">
        <v>36</v>
      </c>
      <c r="C31" t="s">
        <v>196</v>
      </c>
      <c r="D31" t="s">
        <v>38</v>
      </c>
      <c r="E31" t="s">
        <v>39</v>
      </c>
      <c r="F31" t="s">
        <v>40</v>
      </c>
      <c r="G31" t="s">
        <v>197</v>
      </c>
      <c r="H31" t="s">
        <v>198</v>
      </c>
      <c r="I31" t="s">
        <v>199</v>
      </c>
      <c r="J31" t="s">
        <v>200</v>
      </c>
      <c r="K31" s="1">
        <v>46001.702336724535</v>
      </c>
      <c r="L31" s="1">
        <v>46001.774562233797</v>
      </c>
      <c r="M31" t="s">
        <v>45</v>
      </c>
      <c r="N31" t="s">
        <v>201</v>
      </c>
      <c r="O31">
        <v>575</v>
      </c>
      <c r="P31">
        <v>0</v>
      </c>
      <c r="Q31" t="s">
        <v>47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49</v>
      </c>
      <c r="AA31">
        <v>0</v>
      </c>
      <c r="AB31" t="s">
        <v>48</v>
      </c>
      <c r="AC31" t="s">
        <v>48</v>
      </c>
      <c r="AD31">
        <v>0</v>
      </c>
      <c r="AE31">
        <v>92.34</v>
      </c>
      <c r="AF31">
        <v>482.65999999999997</v>
      </c>
      <c r="AG31" t="s">
        <v>50</v>
      </c>
      <c r="AH31" s="1">
        <v>46005</v>
      </c>
      <c r="AI31" t="s">
        <v>51</v>
      </c>
    </row>
    <row r="32" spans="1:35" ht="15.75" x14ac:dyDescent="0.25">
      <c r="A32" t="s">
        <v>35</v>
      </c>
      <c r="B32" t="s">
        <v>36</v>
      </c>
      <c r="C32" t="s">
        <v>202</v>
      </c>
      <c r="D32" t="s">
        <v>38</v>
      </c>
      <c r="E32" t="s">
        <v>39</v>
      </c>
      <c r="F32" t="s">
        <v>40</v>
      </c>
      <c r="G32" t="s">
        <v>203</v>
      </c>
      <c r="H32" t="s">
        <v>75</v>
      </c>
      <c r="I32" t="s">
        <v>204</v>
      </c>
      <c r="J32" t="s">
        <v>205</v>
      </c>
      <c r="K32" s="1">
        <v>46001.515585787034</v>
      </c>
      <c r="L32" s="1">
        <v>46001.783927789351</v>
      </c>
      <c r="M32" t="s">
        <v>45</v>
      </c>
      <c r="N32" t="s">
        <v>96</v>
      </c>
      <c r="O32">
        <v>560</v>
      </c>
      <c r="P32">
        <v>0</v>
      </c>
      <c r="Q32" t="s">
        <v>63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64</v>
      </c>
      <c r="AA32">
        <v>0</v>
      </c>
      <c r="AB32" t="s">
        <v>48</v>
      </c>
      <c r="AC32" t="s">
        <v>48</v>
      </c>
      <c r="AD32">
        <v>0</v>
      </c>
      <c r="AE32">
        <v>57</v>
      </c>
      <c r="AF32">
        <v>503</v>
      </c>
      <c r="AG32" t="s">
        <v>50</v>
      </c>
      <c r="AH32" s="1">
        <v>46005</v>
      </c>
      <c r="AI32" t="s">
        <v>51</v>
      </c>
    </row>
    <row r="33" spans="1:35" ht="15.75" x14ac:dyDescent="0.25">
      <c r="A33" t="s">
        <v>35</v>
      </c>
      <c r="B33" t="s">
        <v>36</v>
      </c>
      <c r="C33" t="s">
        <v>206</v>
      </c>
      <c r="D33" t="s">
        <v>38</v>
      </c>
      <c r="E33" t="s">
        <v>39</v>
      </c>
      <c r="F33" t="s">
        <v>40</v>
      </c>
      <c r="G33" t="s">
        <v>207</v>
      </c>
      <c r="H33" t="s">
        <v>208</v>
      </c>
      <c r="I33" t="s">
        <v>209</v>
      </c>
      <c r="J33" t="s">
        <v>210</v>
      </c>
      <c r="K33" s="1">
        <v>46001.682665439817</v>
      </c>
      <c r="L33" s="1">
        <v>46001.796728009256</v>
      </c>
      <c r="M33" t="s">
        <v>45</v>
      </c>
      <c r="N33" t="s">
        <v>70</v>
      </c>
      <c r="O33">
        <v>1035</v>
      </c>
      <c r="P33">
        <v>0</v>
      </c>
      <c r="Q33" t="s">
        <v>63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64</v>
      </c>
      <c r="AA33">
        <v>0</v>
      </c>
      <c r="AB33" t="s">
        <v>48</v>
      </c>
      <c r="AC33" t="s">
        <v>48</v>
      </c>
      <c r="AD33">
        <v>0</v>
      </c>
      <c r="AE33">
        <v>57</v>
      </c>
      <c r="AF33">
        <v>978</v>
      </c>
      <c r="AG33" t="s">
        <v>50</v>
      </c>
      <c r="AH33" s="1">
        <v>46005</v>
      </c>
      <c r="AI33" t="s">
        <v>51</v>
      </c>
    </row>
    <row r="34" spans="1:35" ht="15.75" x14ac:dyDescent="0.25">
      <c r="A34" t="s">
        <v>35</v>
      </c>
      <c r="B34" t="s">
        <v>36</v>
      </c>
      <c r="C34" t="s">
        <v>211</v>
      </c>
      <c r="D34" t="s">
        <v>38</v>
      </c>
      <c r="E34" t="s">
        <v>39</v>
      </c>
      <c r="F34" t="s">
        <v>40</v>
      </c>
      <c r="G34" t="s">
        <v>212</v>
      </c>
      <c r="H34" t="s">
        <v>213</v>
      </c>
      <c r="I34" t="s">
        <v>214</v>
      </c>
      <c r="J34" t="s">
        <v>215</v>
      </c>
      <c r="K34" s="1">
        <v>46001.494345567131</v>
      </c>
      <c r="L34" s="1">
        <v>46001.802967361109</v>
      </c>
      <c r="M34" t="s">
        <v>45</v>
      </c>
      <c r="N34" t="s">
        <v>62</v>
      </c>
      <c r="O34">
        <v>550</v>
      </c>
      <c r="P34">
        <v>0</v>
      </c>
      <c r="Q34" t="s">
        <v>63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64</v>
      </c>
      <c r="AA34">
        <v>0</v>
      </c>
      <c r="AB34" t="s">
        <v>48</v>
      </c>
      <c r="AC34" t="s">
        <v>48</v>
      </c>
      <c r="AD34">
        <v>0</v>
      </c>
      <c r="AE34">
        <v>57</v>
      </c>
      <c r="AF34">
        <v>493</v>
      </c>
      <c r="AG34" t="s">
        <v>50</v>
      </c>
      <c r="AH34" s="1">
        <v>46005</v>
      </c>
      <c r="AI34" t="s">
        <v>51</v>
      </c>
    </row>
    <row r="35" spans="1:35" ht="15.75" x14ac:dyDescent="0.25">
      <c r="A35" t="s">
        <v>35</v>
      </c>
      <c r="B35" t="s">
        <v>36</v>
      </c>
      <c r="C35" t="s">
        <v>216</v>
      </c>
      <c r="D35" t="s">
        <v>38</v>
      </c>
      <c r="E35" t="s">
        <v>39</v>
      </c>
      <c r="F35" t="s">
        <v>40</v>
      </c>
      <c r="G35" t="s">
        <v>217</v>
      </c>
      <c r="H35" t="s">
        <v>75</v>
      </c>
      <c r="I35" t="s">
        <v>218</v>
      </c>
      <c r="J35" t="s">
        <v>219</v>
      </c>
      <c r="K35" s="1">
        <v>46001.805605729169</v>
      </c>
      <c r="L35" s="1">
        <v>46001.808315196758</v>
      </c>
      <c r="M35" t="s">
        <v>45</v>
      </c>
      <c r="N35" t="s">
        <v>62</v>
      </c>
      <c r="O35">
        <v>575</v>
      </c>
      <c r="P35">
        <v>0</v>
      </c>
      <c r="Q35" t="s">
        <v>63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64</v>
      </c>
      <c r="AA35">
        <v>0</v>
      </c>
      <c r="AB35" t="s">
        <v>48</v>
      </c>
      <c r="AC35" t="s">
        <v>48</v>
      </c>
      <c r="AD35">
        <v>0</v>
      </c>
      <c r="AE35">
        <v>57</v>
      </c>
      <c r="AF35">
        <v>518</v>
      </c>
      <c r="AG35" t="s">
        <v>50</v>
      </c>
      <c r="AH35" s="1">
        <v>46005</v>
      </c>
      <c r="AI35" t="s">
        <v>51</v>
      </c>
    </row>
    <row r="36" spans="1:35" ht="15.75" x14ac:dyDescent="0.25">
      <c r="A36" t="s">
        <v>35</v>
      </c>
      <c r="B36" t="s">
        <v>36</v>
      </c>
      <c r="C36" t="s">
        <v>220</v>
      </c>
      <c r="D36" t="s">
        <v>38</v>
      </c>
      <c r="E36" t="s">
        <v>39</v>
      </c>
      <c r="F36" t="s">
        <v>40</v>
      </c>
      <c r="G36" t="s">
        <v>221</v>
      </c>
      <c r="H36" t="s">
        <v>130</v>
      </c>
      <c r="I36" t="s">
        <v>222</v>
      </c>
      <c r="J36" t="s">
        <v>223</v>
      </c>
      <c r="K36" s="1">
        <v>46001.792645034722</v>
      </c>
      <c r="L36" s="1">
        <v>46001.811711655093</v>
      </c>
      <c r="M36" t="s">
        <v>45</v>
      </c>
      <c r="N36" t="s">
        <v>82</v>
      </c>
      <c r="O36">
        <v>550</v>
      </c>
      <c r="P36">
        <v>0</v>
      </c>
      <c r="Q36" t="s">
        <v>71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72</v>
      </c>
      <c r="AA36">
        <v>0</v>
      </c>
      <c r="AB36" t="s">
        <v>48</v>
      </c>
      <c r="AC36" t="s">
        <v>48</v>
      </c>
      <c r="AD36">
        <v>0</v>
      </c>
      <c r="AE36">
        <v>68.400000000000006</v>
      </c>
      <c r="AF36">
        <v>481.6</v>
      </c>
      <c r="AG36" t="s">
        <v>50</v>
      </c>
      <c r="AH36" s="1">
        <v>46005</v>
      </c>
      <c r="AI36" t="s">
        <v>51</v>
      </c>
    </row>
    <row r="37" spans="1:35" ht="15.75" x14ac:dyDescent="0.25">
      <c r="A37" t="s">
        <v>35</v>
      </c>
      <c r="B37" t="s">
        <v>36</v>
      </c>
      <c r="C37" t="s">
        <v>224</v>
      </c>
      <c r="D37" t="s">
        <v>38</v>
      </c>
      <c r="E37" t="s">
        <v>39</v>
      </c>
      <c r="F37" t="s">
        <v>40</v>
      </c>
      <c r="G37" t="s">
        <v>225</v>
      </c>
      <c r="H37" t="s">
        <v>42</v>
      </c>
      <c r="I37" t="s">
        <v>226</v>
      </c>
      <c r="J37" t="s">
        <v>227</v>
      </c>
      <c r="K37" s="1">
        <v>46001.470262546296</v>
      </c>
      <c r="L37" s="1">
        <v>46001.816651932873</v>
      </c>
      <c r="M37" t="s">
        <v>45</v>
      </c>
      <c r="N37" t="s">
        <v>96</v>
      </c>
      <c r="O37">
        <v>575</v>
      </c>
      <c r="P37">
        <v>0</v>
      </c>
      <c r="Q37" t="s">
        <v>63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64</v>
      </c>
      <c r="AA37">
        <v>0</v>
      </c>
      <c r="AB37" t="s">
        <v>48</v>
      </c>
      <c r="AC37" t="s">
        <v>48</v>
      </c>
      <c r="AD37">
        <v>0</v>
      </c>
      <c r="AE37">
        <v>57</v>
      </c>
      <c r="AF37">
        <v>518</v>
      </c>
      <c r="AG37" t="s">
        <v>50</v>
      </c>
      <c r="AH37" s="1">
        <v>46005</v>
      </c>
      <c r="AI37" t="s">
        <v>51</v>
      </c>
    </row>
    <row r="38" spans="1:35" ht="15.75" x14ac:dyDescent="0.25">
      <c r="A38" t="s">
        <v>35</v>
      </c>
      <c r="B38" t="s">
        <v>36</v>
      </c>
      <c r="C38" t="s">
        <v>228</v>
      </c>
      <c r="D38" t="s">
        <v>38</v>
      </c>
      <c r="E38" t="s">
        <v>39</v>
      </c>
      <c r="F38" t="s">
        <v>40</v>
      </c>
      <c r="G38" t="s">
        <v>229</v>
      </c>
      <c r="H38" t="s">
        <v>230</v>
      </c>
      <c r="I38" t="s">
        <v>231</v>
      </c>
      <c r="J38" t="s">
        <v>232</v>
      </c>
      <c r="K38" s="1">
        <v>46001.551798946763</v>
      </c>
      <c r="L38" s="1">
        <v>46001.821769837959</v>
      </c>
      <c r="M38" t="s">
        <v>45</v>
      </c>
      <c r="N38" t="s">
        <v>45</v>
      </c>
      <c r="O38">
        <v>955</v>
      </c>
      <c r="P38">
        <v>0</v>
      </c>
      <c r="Q38" t="s">
        <v>71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72</v>
      </c>
      <c r="AA38">
        <v>0</v>
      </c>
      <c r="AB38" t="s">
        <v>48</v>
      </c>
      <c r="AC38" t="s">
        <v>48</v>
      </c>
      <c r="AD38">
        <v>0</v>
      </c>
      <c r="AE38">
        <v>68.400000000000006</v>
      </c>
      <c r="AF38">
        <v>886.6</v>
      </c>
      <c r="AG38" t="s">
        <v>50</v>
      </c>
      <c r="AH38" s="1">
        <v>46005</v>
      </c>
      <c r="AI38" t="s">
        <v>51</v>
      </c>
    </row>
    <row r="39" spans="1:35" ht="15.75" x14ac:dyDescent="0.25">
      <c r="A39" t="s">
        <v>35</v>
      </c>
      <c r="B39" t="s">
        <v>36</v>
      </c>
      <c r="C39" t="s">
        <v>233</v>
      </c>
      <c r="D39" t="s">
        <v>38</v>
      </c>
      <c r="E39" t="s">
        <v>39</v>
      </c>
      <c r="F39" t="s">
        <v>40</v>
      </c>
      <c r="G39" t="s">
        <v>234</v>
      </c>
      <c r="H39" t="s">
        <v>235</v>
      </c>
      <c r="I39" t="s">
        <v>236</v>
      </c>
      <c r="J39" t="s">
        <v>237</v>
      </c>
      <c r="K39" s="1">
        <v>46001.64159136574</v>
      </c>
      <c r="L39" s="1">
        <v>46001.822882754626</v>
      </c>
      <c r="M39" t="s">
        <v>45</v>
      </c>
      <c r="N39" t="s">
        <v>238</v>
      </c>
      <c r="O39">
        <v>575</v>
      </c>
      <c r="P39">
        <v>0</v>
      </c>
      <c r="Q39" t="s">
        <v>71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72</v>
      </c>
      <c r="AA39">
        <v>0</v>
      </c>
      <c r="AB39" t="s">
        <v>48</v>
      </c>
      <c r="AC39" t="s">
        <v>48</v>
      </c>
      <c r="AD39">
        <v>0</v>
      </c>
      <c r="AE39">
        <v>68.400000000000006</v>
      </c>
      <c r="AF39">
        <v>506.6</v>
      </c>
      <c r="AG39" t="s">
        <v>50</v>
      </c>
      <c r="AH39" s="1">
        <v>46005</v>
      </c>
      <c r="AI39" t="s">
        <v>51</v>
      </c>
    </row>
    <row r="40" spans="1:35" ht="15.75" x14ac:dyDescent="0.25">
      <c r="A40" t="s">
        <v>35</v>
      </c>
      <c r="B40" t="s">
        <v>36</v>
      </c>
      <c r="C40" t="s">
        <v>239</v>
      </c>
      <c r="D40" t="s">
        <v>38</v>
      </c>
      <c r="E40" t="s">
        <v>39</v>
      </c>
      <c r="F40" t="s">
        <v>40</v>
      </c>
      <c r="G40" t="s">
        <v>240</v>
      </c>
      <c r="H40" t="s">
        <v>42</v>
      </c>
      <c r="I40" t="s">
        <v>241</v>
      </c>
      <c r="J40" t="s">
        <v>242</v>
      </c>
      <c r="K40" s="1">
        <v>46001.739594189814</v>
      </c>
      <c r="L40" s="1">
        <v>46001.826252696759</v>
      </c>
      <c r="M40" t="s">
        <v>45</v>
      </c>
      <c r="N40" t="s">
        <v>183</v>
      </c>
      <c r="O40">
        <v>575</v>
      </c>
      <c r="P40">
        <v>0</v>
      </c>
      <c r="Q40" t="s">
        <v>103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104</v>
      </c>
      <c r="AA40">
        <v>0</v>
      </c>
      <c r="AB40" t="s">
        <v>48</v>
      </c>
      <c r="AC40" t="s">
        <v>48</v>
      </c>
      <c r="AD40">
        <v>0</v>
      </c>
      <c r="AE40">
        <v>61.56</v>
      </c>
      <c r="AF40">
        <v>513.44000000000005</v>
      </c>
      <c r="AG40" t="s">
        <v>50</v>
      </c>
      <c r="AH40" s="1">
        <v>46005</v>
      </c>
      <c r="AI40" t="s">
        <v>51</v>
      </c>
    </row>
    <row r="41" spans="1:35" ht="15.75" x14ac:dyDescent="0.25">
      <c r="A41" t="s">
        <v>35</v>
      </c>
      <c r="B41" t="s">
        <v>36</v>
      </c>
      <c r="C41" t="s">
        <v>243</v>
      </c>
      <c r="D41" t="s">
        <v>38</v>
      </c>
      <c r="E41" t="s">
        <v>39</v>
      </c>
      <c r="F41" t="s">
        <v>40</v>
      </c>
      <c r="G41" t="s">
        <v>244</v>
      </c>
      <c r="H41" t="s">
        <v>75</v>
      </c>
      <c r="I41" t="s">
        <v>245</v>
      </c>
      <c r="J41" t="s">
        <v>246</v>
      </c>
      <c r="K41" s="1">
        <v>46001.720953923614</v>
      </c>
      <c r="L41" s="1">
        <v>46001.829263298612</v>
      </c>
      <c r="M41" t="s">
        <v>45</v>
      </c>
      <c r="N41" t="s">
        <v>247</v>
      </c>
      <c r="O41">
        <v>560</v>
      </c>
      <c r="P41">
        <v>0</v>
      </c>
      <c r="Q41" t="s">
        <v>47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49</v>
      </c>
      <c r="AA41">
        <v>0</v>
      </c>
      <c r="AB41" t="s">
        <v>48</v>
      </c>
      <c r="AC41" t="s">
        <v>48</v>
      </c>
      <c r="AD41">
        <v>0</v>
      </c>
      <c r="AE41">
        <v>92.34</v>
      </c>
      <c r="AF41">
        <v>467.65999999999997</v>
      </c>
      <c r="AG41" t="s">
        <v>50</v>
      </c>
      <c r="AH41" s="1">
        <v>46005</v>
      </c>
      <c r="AI41" t="s">
        <v>51</v>
      </c>
    </row>
    <row r="42" spans="1:35" ht="15.75" x14ac:dyDescent="0.25">
      <c r="A42" t="s">
        <v>35</v>
      </c>
      <c r="B42" t="s">
        <v>36</v>
      </c>
      <c r="C42" t="s">
        <v>248</v>
      </c>
      <c r="D42" t="s">
        <v>38</v>
      </c>
      <c r="E42" t="s">
        <v>39</v>
      </c>
      <c r="F42" t="s">
        <v>40</v>
      </c>
      <c r="G42" t="s">
        <v>249</v>
      </c>
      <c r="H42" t="s">
        <v>67</v>
      </c>
      <c r="I42" t="s">
        <v>250</v>
      </c>
      <c r="J42" t="s">
        <v>251</v>
      </c>
      <c r="K42" s="1">
        <v>46001.647319942131</v>
      </c>
      <c r="L42" s="1">
        <v>46001.834270370367</v>
      </c>
      <c r="M42" t="s">
        <v>45</v>
      </c>
      <c r="N42" t="s">
        <v>62</v>
      </c>
      <c r="O42">
        <v>510</v>
      </c>
      <c r="P42">
        <v>0</v>
      </c>
      <c r="Q42" t="s">
        <v>63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64</v>
      </c>
      <c r="AA42">
        <v>0</v>
      </c>
      <c r="AB42" t="s">
        <v>48</v>
      </c>
      <c r="AC42" t="s">
        <v>48</v>
      </c>
      <c r="AD42">
        <v>0</v>
      </c>
      <c r="AE42">
        <v>57</v>
      </c>
      <c r="AF42">
        <v>453</v>
      </c>
      <c r="AG42" t="s">
        <v>50</v>
      </c>
      <c r="AH42" s="1">
        <v>46005</v>
      </c>
      <c r="AI42" t="s">
        <v>51</v>
      </c>
    </row>
    <row r="43" spans="1:35" ht="15.75" x14ac:dyDescent="0.25">
      <c r="A43" t="s">
        <v>35</v>
      </c>
      <c r="B43" t="s">
        <v>36</v>
      </c>
      <c r="C43" t="s">
        <v>252</v>
      </c>
      <c r="D43" t="s">
        <v>38</v>
      </c>
      <c r="E43" t="s">
        <v>39</v>
      </c>
      <c r="F43" t="s">
        <v>40</v>
      </c>
      <c r="G43" t="s">
        <v>253</v>
      </c>
      <c r="H43" t="s">
        <v>254</v>
      </c>
      <c r="I43" t="s">
        <v>255</v>
      </c>
      <c r="J43" t="s">
        <v>256</v>
      </c>
      <c r="K43" s="1">
        <v>46001.635517476854</v>
      </c>
      <c r="L43" s="1">
        <v>46001.846128993056</v>
      </c>
      <c r="M43" t="s">
        <v>45</v>
      </c>
      <c r="N43" t="s">
        <v>96</v>
      </c>
      <c r="O43">
        <v>955</v>
      </c>
      <c r="P43">
        <v>0</v>
      </c>
      <c r="Q43" t="s">
        <v>63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64</v>
      </c>
      <c r="AA43">
        <v>0</v>
      </c>
      <c r="AB43" t="s">
        <v>48</v>
      </c>
      <c r="AC43" t="s">
        <v>48</v>
      </c>
      <c r="AD43">
        <v>0</v>
      </c>
      <c r="AE43">
        <v>57</v>
      </c>
      <c r="AF43">
        <v>898</v>
      </c>
      <c r="AG43" t="s">
        <v>50</v>
      </c>
      <c r="AH43" s="1">
        <v>46005</v>
      </c>
      <c r="AI43" t="s">
        <v>51</v>
      </c>
    </row>
    <row r="44" spans="1:35" ht="15.75" x14ac:dyDescent="0.25">
      <c r="A44" t="s">
        <v>35</v>
      </c>
      <c r="B44" t="s">
        <v>36</v>
      </c>
      <c r="C44" t="s">
        <v>257</v>
      </c>
      <c r="D44" t="s">
        <v>38</v>
      </c>
      <c r="E44" t="s">
        <v>39</v>
      </c>
      <c r="F44" t="s">
        <v>40</v>
      </c>
      <c r="G44" t="s">
        <v>258</v>
      </c>
      <c r="H44" t="s">
        <v>85</v>
      </c>
      <c r="I44" t="s">
        <v>259</v>
      </c>
      <c r="J44" t="s">
        <v>260</v>
      </c>
      <c r="K44" s="1">
        <v>46001.497270416665</v>
      </c>
      <c r="L44" s="1">
        <v>46001.862545763892</v>
      </c>
      <c r="M44" t="s">
        <v>45</v>
      </c>
      <c r="N44" t="s">
        <v>96</v>
      </c>
      <c r="O44">
        <v>560</v>
      </c>
      <c r="P44">
        <v>0</v>
      </c>
      <c r="Q44" t="s">
        <v>63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64</v>
      </c>
      <c r="AA44">
        <v>0</v>
      </c>
      <c r="AB44" t="s">
        <v>48</v>
      </c>
      <c r="AC44" t="s">
        <v>48</v>
      </c>
      <c r="AD44">
        <v>0</v>
      </c>
      <c r="AE44">
        <v>57</v>
      </c>
      <c r="AF44">
        <v>503</v>
      </c>
      <c r="AG44" t="s">
        <v>50</v>
      </c>
      <c r="AH44" s="1">
        <v>46005</v>
      </c>
      <c r="AI44" t="s">
        <v>51</v>
      </c>
    </row>
    <row r="45" spans="1:35" ht="15.75" x14ac:dyDescent="0.25">
      <c r="A45" t="s">
        <v>35</v>
      </c>
      <c r="B45" t="s">
        <v>36</v>
      </c>
      <c r="C45" t="s">
        <v>261</v>
      </c>
      <c r="D45" t="s">
        <v>38</v>
      </c>
      <c r="E45" t="s">
        <v>39</v>
      </c>
      <c r="F45" t="s">
        <v>40</v>
      </c>
      <c r="G45" t="s">
        <v>262</v>
      </c>
      <c r="H45" t="s">
        <v>263</v>
      </c>
      <c r="I45" t="s">
        <v>264</v>
      </c>
      <c r="J45" t="s">
        <v>265</v>
      </c>
      <c r="K45" s="1">
        <v>46001.713566597224</v>
      </c>
      <c r="L45" s="1">
        <v>46001.86883255787</v>
      </c>
      <c r="M45" t="s">
        <v>45</v>
      </c>
      <c r="N45" t="s">
        <v>62</v>
      </c>
      <c r="O45">
        <v>430</v>
      </c>
      <c r="P45">
        <v>0</v>
      </c>
      <c r="Q45" t="s">
        <v>63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64</v>
      </c>
      <c r="AA45">
        <v>0</v>
      </c>
      <c r="AB45" t="s">
        <v>48</v>
      </c>
      <c r="AC45" t="s">
        <v>48</v>
      </c>
      <c r="AD45">
        <v>0</v>
      </c>
      <c r="AE45">
        <v>57</v>
      </c>
      <c r="AF45">
        <v>373</v>
      </c>
      <c r="AG45" t="s">
        <v>50</v>
      </c>
      <c r="AH45" s="1">
        <v>46005</v>
      </c>
      <c r="AI45" t="s">
        <v>51</v>
      </c>
    </row>
    <row r="46" spans="1:35" ht="15.75" x14ac:dyDescent="0.25">
      <c r="A46" t="s">
        <v>35</v>
      </c>
      <c r="B46" t="s">
        <v>36</v>
      </c>
      <c r="C46" t="s">
        <v>266</v>
      </c>
      <c r="D46" t="s">
        <v>38</v>
      </c>
      <c r="E46" t="s">
        <v>39</v>
      </c>
      <c r="F46" t="s">
        <v>40</v>
      </c>
      <c r="G46" t="s">
        <v>267</v>
      </c>
      <c r="H46" t="s">
        <v>268</v>
      </c>
      <c r="I46" t="s">
        <v>269</v>
      </c>
      <c r="J46" t="s">
        <v>270</v>
      </c>
      <c r="K46" s="1">
        <v>46001.737323587964</v>
      </c>
      <c r="L46" s="1">
        <v>46001.87483818287</v>
      </c>
      <c r="M46" t="s">
        <v>45</v>
      </c>
      <c r="N46" t="s">
        <v>96</v>
      </c>
      <c r="O46">
        <v>995</v>
      </c>
      <c r="P46">
        <v>0</v>
      </c>
      <c r="Q46" t="s">
        <v>63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64</v>
      </c>
      <c r="AA46">
        <v>0</v>
      </c>
      <c r="AB46" t="s">
        <v>48</v>
      </c>
      <c r="AC46" t="s">
        <v>48</v>
      </c>
      <c r="AD46">
        <v>0</v>
      </c>
      <c r="AE46">
        <v>57</v>
      </c>
      <c r="AF46">
        <v>938</v>
      </c>
      <c r="AG46" t="s">
        <v>50</v>
      </c>
      <c r="AH46" s="1">
        <v>46005</v>
      </c>
      <c r="AI46" t="s">
        <v>51</v>
      </c>
    </row>
    <row r="47" spans="1:35" ht="15.75" x14ac:dyDescent="0.25">
      <c r="A47" t="s">
        <v>35</v>
      </c>
      <c r="B47" t="s">
        <v>36</v>
      </c>
      <c r="C47" t="s">
        <v>271</v>
      </c>
      <c r="D47" t="s">
        <v>38</v>
      </c>
      <c r="E47" t="s">
        <v>39</v>
      </c>
      <c r="F47" t="s">
        <v>40</v>
      </c>
      <c r="G47" t="s">
        <v>272</v>
      </c>
      <c r="H47" t="s">
        <v>273</v>
      </c>
      <c r="I47" t="s">
        <v>274</v>
      </c>
      <c r="J47" t="s">
        <v>275</v>
      </c>
      <c r="K47" s="1">
        <v>46001.760378078703</v>
      </c>
      <c r="L47" s="1">
        <v>46001.875865185182</v>
      </c>
      <c r="M47" t="s">
        <v>45</v>
      </c>
      <c r="N47" t="s">
        <v>96</v>
      </c>
      <c r="O47">
        <v>990</v>
      </c>
      <c r="P47">
        <v>0</v>
      </c>
      <c r="Q47" t="s">
        <v>63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64</v>
      </c>
      <c r="AA47">
        <v>0</v>
      </c>
      <c r="AB47" t="s">
        <v>48</v>
      </c>
      <c r="AC47" t="s">
        <v>48</v>
      </c>
      <c r="AD47">
        <v>0</v>
      </c>
      <c r="AE47">
        <v>57</v>
      </c>
      <c r="AF47">
        <v>933</v>
      </c>
      <c r="AG47" t="s">
        <v>50</v>
      </c>
      <c r="AH47" s="1">
        <v>46005</v>
      </c>
      <c r="AI47" t="s">
        <v>51</v>
      </c>
    </row>
    <row r="48" spans="1:35" ht="15.75" x14ac:dyDescent="0.25">
      <c r="A48" t="s">
        <v>35</v>
      </c>
      <c r="B48" t="s">
        <v>36</v>
      </c>
      <c r="C48" t="s">
        <v>276</v>
      </c>
      <c r="D48" t="s">
        <v>38</v>
      </c>
      <c r="E48" t="s">
        <v>39</v>
      </c>
      <c r="F48" t="s">
        <v>40</v>
      </c>
      <c r="G48" t="s">
        <v>277</v>
      </c>
      <c r="H48" t="s">
        <v>278</v>
      </c>
      <c r="I48" t="s">
        <v>279</v>
      </c>
      <c r="J48" t="s">
        <v>280</v>
      </c>
      <c r="K48" s="1">
        <v>46001.519125856481</v>
      </c>
      <c r="L48" s="1">
        <v>46001.884706712961</v>
      </c>
      <c r="M48" t="s">
        <v>45</v>
      </c>
      <c r="N48" t="s">
        <v>70</v>
      </c>
      <c r="O48">
        <v>430</v>
      </c>
      <c r="P48">
        <v>0</v>
      </c>
      <c r="Q48" t="s">
        <v>63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64</v>
      </c>
      <c r="AA48">
        <v>0</v>
      </c>
      <c r="AB48" t="s">
        <v>48</v>
      </c>
      <c r="AC48" t="s">
        <v>48</v>
      </c>
      <c r="AD48">
        <v>0</v>
      </c>
      <c r="AE48">
        <v>57</v>
      </c>
      <c r="AF48">
        <v>373</v>
      </c>
      <c r="AG48" t="s">
        <v>50</v>
      </c>
      <c r="AH48" s="1">
        <v>46005</v>
      </c>
      <c r="AI48" t="s">
        <v>51</v>
      </c>
    </row>
    <row r="49" spans="1:35" ht="15.75" x14ac:dyDescent="0.25">
      <c r="A49" t="s">
        <v>35</v>
      </c>
      <c r="B49" t="s">
        <v>36</v>
      </c>
      <c r="C49" t="s">
        <v>281</v>
      </c>
      <c r="D49" t="s">
        <v>38</v>
      </c>
      <c r="E49" t="s">
        <v>39</v>
      </c>
      <c r="F49" t="s">
        <v>40</v>
      </c>
      <c r="G49" t="s">
        <v>282</v>
      </c>
      <c r="H49" t="s">
        <v>283</v>
      </c>
      <c r="I49" t="s">
        <v>284</v>
      </c>
      <c r="J49" t="s">
        <v>285</v>
      </c>
      <c r="K49" s="1">
        <v>46001.836590057872</v>
      </c>
      <c r="L49" s="1">
        <v>46001.897477407409</v>
      </c>
      <c r="M49" t="s">
        <v>45</v>
      </c>
      <c r="N49" t="s">
        <v>62</v>
      </c>
      <c r="O49">
        <v>1200</v>
      </c>
      <c r="P49">
        <v>0</v>
      </c>
      <c r="Q49" t="s">
        <v>63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64</v>
      </c>
      <c r="AA49">
        <v>0</v>
      </c>
      <c r="AB49" t="s">
        <v>48</v>
      </c>
      <c r="AC49" t="s">
        <v>48</v>
      </c>
      <c r="AD49">
        <v>0</v>
      </c>
      <c r="AE49">
        <v>57</v>
      </c>
      <c r="AF49">
        <v>1143</v>
      </c>
      <c r="AG49" t="s">
        <v>50</v>
      </c>
      <c r="AH49" s="1">
        <v>46005</v>
      </c>
      <c r="AI49" t="s">
        <v>51</v>
      </c>
    </row>
    <row r="50" spans="1:35" ht="15.75" x14ac:dyDescent="0.25">
      <c r="A50" t="s">
        <v>35</v>
      </c>
      <c r="B50" t="s">
        <v>36</v>
      </c>
      <c r="C50" t="s">
        <v>286</v>
      </c>
      <c r="D50" t="s">
        <v>38</v>
      </c>
      <c r="E50" t="s">
        <v>39</v>
      </c>
      <c r="F50" t="s">
        <v>40</v>
      </c>
      <c r="G50" t="s">
        <v>287</v>
      </c>
      <c r="H50" t="s">
        <v>283</v>
      </c>
      <c r="I50" t="s">
        <v>288</v>
      </c>
      <c r="J50" t="s">
        <v>289</v>
      </c>
      <c r="K50" s="1">
        <v>46001.600584293985</v>
      </c>
      <c r="L50" s="1">
        <v>46001.901300162041</v>
      </c>
      <c r="M50" t="s">
        <v>45</v>
      </c>
      <c r="N50" t="s">
        <v>290</v>
      </c>
      <c r="O50">
        <v>1200</v>
      </c>
      <c r="P50">
        <v>0</v>
      </c>
      <c r="Q50" t="s">
        <v>71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72</v>
      </c>
      <c r="AA50">
        <v>0</v>
      </c>
      <c r="AB50" t="s">
        <v>48</v>
      </c>
      <c r="AC50" t="s">
        <v>48</v>
      </c>
      <c r="AD50">
        <v>0</v>
      </c>
      <c r="AE50">
        <v>68.400000000000006</v>
      </c>
      <c r="AF50">
        <v>1131.5999999999999</v>
      </c>
      <c r="AG50" t="s">
        <v>50</v>
      </c>
      <c r="AH50" s="1">
        <v>46005</v>
      </c>
      <c r="AI50" t="s">
        <v>51</v>
      </c>
    </row>
    <row r="51" spans="1:35" ht="15.75" x14ac:dyDescent="0.25">
      <c r="A51" t="s">
        <v>35</v>
      </c>
      <c r="B51" t="s">
        <v>36</v>
      </c>
      <c r="C51" t="s">
        <v>291</v>
      </c>
      <c r="D51" t="s">
        <v>38</v>
      </c>
      <c r="E51" t="s">
        <v>39</v>
      </c>
      <c r="F51" t="s">
        <v>40</v>
      </c>
      <c r="G51" t="s">
        <v>292</v>
      </c>
      <c r="H51" t="s">
        <v>235</v>
      </c>
      <c r="I51" t="s">
        <v>293</v>
      </c>
      <c r="J51" t="s">
        <v>294</v>
      </c>
      <c r="K51" s="1">
        <v>46001.685098217589</v>
      </c>
      <c r="L51" s="1">
        <v>46002.295487569441</v>
      </c>
      <c r="M51" t="s">
        <v>45</v>
      </c>
      <c r="N51" t="s">
        <v>82</v>
      </c>
      <c r="O51">
        <v>575</v>
      </c>
      <c r="P51">
        <v>0</v>
      </c>
      <c r="Q51" t="s">
        <v>71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72</v>
      </c>
      <c r="AA51">
        <v>0</v>
      </c>
      <c r="AB51" t="s">
        <v>48</v>
      </c>
      <c r="AC51" t="s">
        <v>48</v>
      </c>
      <c r="AD51">
        <v>0</v>
      </c>
      <c r="AE51">
        <v>68.400000000000006</v>
      </c>
      <c r="AF51">
        <v>506.6</v>
      </c>
      <c r="AG51" t="s">
        <v>50</v>
      </c>
      <c r="AH51" s="1">
        <v>46005</v>
      </c>
      <c r="AI51" t="s">
        <v>51</v>
      </c>
    </row>
    <row r="52" spans="1:35" ht="15.75" x14ac:dyDescent="0.25">
      <c r="A52" t="s">
        <v>35</v>
      </c>
      <c r="B52" t="s">
        <v>36</v>
      </c>
      <c r="C52" t="s">
        <v>295</v>
      </c>
      <c r="D52" t="s">
        <v>38</v>
      </c>
      <c r="E52" t="s">
        <v>39</v>
      </c>
      <c r="F52" t="s">
        <v>40</v>
      </c>
      <c r="G52" t="s">
        <v>296</v>
      </c>
      <c r="H52" t="s">
        <v>75</v>
      </c>
      <c r="I52" t="s">
        <v>297</v>
      </c>
      <c r="J52" t="s">
        <v>298</v>
      </c>
      <c r="K52" s="1">
        <v>46001.561536944442</v>
      </c>
      <c r="L52" s="1">
        <v>46002.299613043979</v>
      </c>
      <c r="M52" t="s">
        <v>45</v>
      </c>
      <c r="N52" t="s">
        <v>290</v>
      </c>
      <c r="O52">
        <v>575</v>
      </c>
      <c r="P52">
        <v>0</v>
      </c>
      <c r="Q52" t="s">
        <v>71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72</v>
      </c>
      <c r="AA52">
        <v>0</v>
      </c>
      <c r="AB52" t="s">
        <v>48</v>
      </c>
      <c r="AC52" t="s">
        <v>48</v>
      </c>
      <c r="AD52">
        <v>0</v>
      </c>
      <c r="AE52">
        <v>68.400000000000006</v>
      </c>
      <c r="AF52">
        <v>506.6</v>
      </c>
      <c r="AG52" t="s">
        <v>50</v>
      </c>
      <c r="AH52" s="1">
        <v>46005</v>
      </c>
      <c r="AI52" t="s">
        <v>51</v>
      </c>
    </row>
    <row r="53" spans="1:35" ht="15.75" x14ac:dyDescent="0.25">
      <c r="A53" t="s">
        <v>35</v>
      </c>
      <c r="B53" t="s">
        <v>36</v>
      </c>
      <c r="C53" t="s">
        <v>299</v>
      </c>
      <c r="D53" t="s">
        <v>38</v>
      </c>
      <c r="E53" t="s">
        <v>39</v>
      </c>
      <c r="F53" t="s">
        <v>40</v>
      </c>
      <c r="G53" t="s">
        <v>300</v>
      </c>
      <c r="H53" t="s">
        <v>85</v>
      </c>
      <c r="I53" t="s">
        <v>301</v>
      </c>
      <c r="J53" t="s">
        <v>302</v>
      </c>
      <c r="K53" s="1">
        <v>46001.514197569442</v>
      </c>
      <c r="L53" s="1">
        <v>46002.305208576392</v>
      </c>
      <c r="M53" t="s">
        <v>45</v>
      </c>
      <c r="N53" t="s">
        <v>96</v>
      </c>
      <c r="O53">
        <v>575</v>
      </c>
      <c r="P53">
        <v>0</v>
      </c>
      <c r="Q53" t="s">
        <v>63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64</v>
      </c>
      <c r="AA53">
        <v>0</v>
      </c>
      <c r="AB53" t="s">
        <v>48</v>
      </c>
      <c r="AC53" t="s">
        <v>48</v>
      </c>
      <c r="AD53">
        <v>0</v>
      </c>
      <c r="AE53">
        <v>57</v>
      </c>
      <c r="AF53">
        <v>518</v>
      </c>
      <c r="AG53" t="s">
        <v>50</v>
      </c>
      <c r="AH53" s="1">
        <v>46005</v>
      </c>
      <c r="AI53" t="s">
        <v>51</v>
      </c>
    </row>
    <row r="54" spans="1:35" ht="15.75" x14ac:dyDescent="0.25">
      <c r="A54" t="s">
        <v>35</v>
      </c>
      <c r="B54" t="s">
        <v>36</v>
      </c>
      <c r="C54" t="s">
        <v>303</v>
      </c>
      <c r="D54" t="s">
        <v>38</v>
      </c>
      <c r="E54" t="s">
        <v>39</v>
      </c>
      <c r="F54" t="s">
        <v>40</v>
      </c>
      <c r="G54" t="s">
        <v>304</v>
      </c>
      <c r="H54" t="s">
        <v>85</v>
      </c>
      <c r="I54" t="s">
        <v>305</v>
      </c>
      <c r="J54" t="s">
        <v>306</v>
      </c>
      <c r="K54" s="1">
        <v>46001.709636284722</v>
      </c>
      <c r="L54" s="1">
        <v>46002.371675983799</v>
      </c>
      <c r="M54" t="s">
        <v>45</v>
      </c>
      <c r="N54" t="s">
        <v>82</v>
      </c>
      <c r="O54">
        <v>0</v>
      </c>
      <c r="P54">
        <v>575</v>
      </c>
      <c r="Q54" t="s">
        <v>71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72</v>
      </c>
      <c r="AA54">
        <v>0</v>
      </c>
      <c r="AB54" t="s">
        <v>48</v>
      </c>
      <c r="AC54" t="s">
        <v>48</v>
      </c>
      <c r="AD54">
        <v>0</v>
      </c>
      <c r="AE54">
        <v>68.400000000000006</v>
      </c>
      <c r="AF54">
        <v>506.6</v>
      </c>
      <c r="AG54" t="s">
        <v>50</v>
      </c>
      <c r="AH54" s="1">
        <v>46005</v>
      </c>
      <c r="AI54" t="s">
        <v>51</v>
      </c>
    </row>
    <row r="55" spans="1:35" ht="15.75" x14ac:dyDescent="0.25">
      <c r="A55" t="s">
        <v>35</v>
      </c>
      <c r="B55" t="s">
        <v>36</v>
      </c>
      <c r="C55" t="s">
        <v>307</v>
      </c>
      <c r="D55" t="s">
        <v>38</v>
      </c>
      <c r="E55" t="s">
        <v>39</v>
      </c>
      <c r="F55" t="s">
        <v>40</v>
      </c>
      <c r="G55" t="s">
        <v>308</v>
      </c>
      <c r="H55" t="s">
        <v>309</v>
      </c>
      <c r="I55" t="s">
        <v>310</v>
      </c>
      <c r="J55" t="s">
        <v>311</v>
      </c>
      <c r="K55" s="1">
        <v>46001.651920925928</v>
      </c>
      <c r="L55" s="1">
        <v>46002.371736597219</v>
      </c>
      <c r="M55" t="s">
        <v>45</v>
      </c>
      <c r="N55" t="s">
        <v>82</v>
      </c>
      <c r="O55">
        <v>575</v>
      </c>
      <c r="P55">
        <v>0</v>
      </c>
      <c r="Q55" t="s">
        <v>71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72</v>
      </c>
      <c r="AA55">
        <v>0</v>
      </c>
      <c r="AB55" t="s">
        <v>48</v>
      </c>
      <c r="AC55" t="s">
        <v>48</v>
      </c>
      <c r="AD55">
        <v>0</v>
      </c>
      <c r="AE55">
        <v>68.400000000000006</v>
      </c>
      <c r="AF55">
        <v>506.6</v>
      </c>
      <c r="AG55" t="s">
        <v>50</v>
      </c>
      <c r="AH55" s="1">
        <v>46005</v>
      </c>
      <c r="AI55" t="s">
        <v>51</v>
      </c>
    </row>
    <row r="56" spans="1:35" ht="15.75" x14ac:dyDescent="0.25">
      <c r="A56" t="s">
        <v>35</v>
      </c>
      <c r="B56" t="s">
        <v>36</v>
      </c>
      <c r="C56" t="s">
        <v>312</v>
      </c>
      <c r="D56" t="s">
        <v>38</v>
      </c>
      <c r="E56" t="s">
        <v>39</v>
      </c>
      <c r="F56" t="s">
        <v>40</v>
      </c>
      <c r="G56" t="s">
        <v>313</v>
      </c>
      <c r="H56" t="s">
        <v>314</v>
      </c>
      <c r="I56" t="s">
        <v>315</v>
      </c>
      <c r="J56" t="s">
        <v>316</v>
      </c>
      <c r="K56" s="1">
        <v>46001.585616898148</v>
      </c>
      <c r="L56" s="1">
        <v>46002.381692881943</v>
      </c>
      <c r="M56" t="s">
        <v>45</v>
      </c>
      <c r="N56" t="s">
        <v>82</v>
      </c>
      <c r="O56">
        <v>575</v>
      </c>
      <c r="P56">
        <v>0</v>
      </c>
      <c r="Q56" t="s">
        <v>71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72</v>
      </c>
      <c r="AA56">
        <v>0</v>
      </c>
      <c r="AB56" t="s">
        <v>48</v>
      </c>
      <c r="AC56" t="s">
        <v>48</v>
      </c>
      <c r="AD56">
        <v>0</v>
      </c>
      <c r="AE56">
        <v>68.400000000000006</v>
      </c>
      <c r="AF56">
        <v>506.6</v>
      </c>
      <c r="AG56" t="s">
        <v>50</v>
      </c>
      <c r="AH56" s="1">
        <v>46005</v>
      </c>
      <c r="AI56" t="s">
        <v>51</v>
      </c>
    </row>
    <row r="57" spans="1:35" ht="15.75" x14ac:dyDescent="0.25">
      <c r="A57" t="s">
        <v>35</v>
      </c>
      <c r="B57" t="s">
        <v>36</v>
      </c>
      <c r="C57" t="s">
        <v>317</v>
      </c>
      <c r="D57" t="s">
        <v>38</v>
      </c>
      <c r="E57" t="s">
        <v>39</v>
      </c>
      <c r="F57" t="s">
        <v>40</v>
      </c>
      <c r="G57" t="s">
        <v>318</v>
      </c>
      <c r="H57" t="s">
        <v>319</v>
      </c>
      <c r="I57" t="s">
        <v>320</v>
      </c>
      <c r="J57" t="s">
        <v>321</v>
      </c>
      <c r="K57" s="1">
        <v>46002.593009143522</v>
      </c>
      <c r="L57" s="1">
        <v>46002.619626307867</v>
      </c>
      <c r="M57" t="s">
        <v>45</v>
      </c>
      <c r="N57" t="s">
        <v>322</v>
      </c>
      <c r="O57">
        <v>785</v>
      </c>
      <c r="P57">
        <v>0</v>
      </c>
      <c r="Q57" t="s">
        <v>47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49</v>
      </c>
      <c r="AA57">
        <v>0</v>
      </c>
      <c r="AB57" t="s">
        <v>48</v>
      </c>
      <c r="AC57" t="s">
        <v>48</v>
      </c>
      <c r="AD57">
        <v>0</v>
      </c>
      <c r="AE57">
        <v>92.34</v>
      </c>
      <c r="AF57">
        <v>692.66</v>
      </c>
      <c r="AG57" t="s">
        <v>50</v>
      </c>
      <c r="AH57" s="1">
        <v>46005</v>
      </c>
      <c r="AI57" t="s">
        <v>51</v>
      </c>
    </row>
    <row r="58" spans="1:35" ht="15.75" x14ac:dyDescent="0.25">
      <c r="A58" t="s">
        <v>35</v>
      </c>
      <c r="B58" t="s">
        <v>36</v>
      </c>
      <c r="C58" t="s">
        <v>323</v>
      </c>
      <c r="D58" t="s">
        <v>38</v>
      </c>
      <c r="E58" t="s">
        <v>39</v>
      </c>
      <c r="F58" t="s">
        <v>40</v>
      </c>
      <c r="G58" t="s">
        <v>324</v>
      </c>
      <c r="H58" t="s">
        <v>116</v>
      </c>
      <c r="I58" t="s">
        <v>325</v>
      </c>
      <c r="J58" t="s">
        <v>326</v>
      </c>
      <c r="K58" s="1">
        <v>46002.505756145831</v>
      </c>
      <c r="L58" s="1">
        <v>46002.7060866088</v>
      </c>
      <c r="M58" t="s">
        <v>45</v>
      </c>
      <c r="N58" t="s">
        <v>62</v>
      </c>
      <c r="O58">
        <v>575</v>
      </c>
      <c r="P58">
        <v>0</v>
      </c>
      <c r="Q58" t="s">
        <v>63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64</v>
      </c>
      <c r="AA58">
        <v>0</v>
      </c>
      <c r="AB58" t="s">
        <v>48</v>
      </c>
      <c r="AC58" t="s">
        <v>48</v>
      </c>
      <c r="AD58">
        <v>0</v>
      </c>
      <c r="AE58">
        <v>57</v>
      </c>
      <c r="AF58">
        <v>518</v>
      </c>
      <c r="AG58" t="s">
        <v>50</v>
      </c>
      <c r="AH58" s="1">
        <v>46005</v>
      </c>
      <c r="AI58" t="s">
        <v>51</v>
      </c>
    </row>
    <row r="59" spans="1:35" ht="15.75" x14ac:dyDescent="0.25">
      <c r="A59" t="s">
        <v>35</v>
      </c>
      <c r="B59" t="s">
        <v>36</v>
      </c>
      <c r="C59" t="s">
        <v>327</v>
      </c>
      <c r="D59" t="s">
        <v>38</v>
      </c>
      <c r="E59" t="s">
        <v>39</v>
      </c>
      <c r="F59" t="s">
        <v>40</v>
      </c>
      <c r="G59" t="s">
        <v>328</v>
      </c>
      <c r="H59" t="s">
        <v>329</v>
      </c>
      <c r="I59" t="s">
        <v>330</v>
      </c>
      <c r="J59" t="s">
        <v>331</v>
      </c>
      <c r="K59" s="1">
        <v>46002.490114247688</v>
      </c>
      <c r="L59" s="1">
        <v>46002.706108333332</v>
      </c>
      <c r="M59" t="s">
        <v>45</v>
      </c>
      <c r="N59" t="s">
        <v>96</v>
      </c>
      <c r="O59">
        <v>575</v>
      </c>
      <c r="P59">
        <v>0</v>
      </c>
      <c r="Q59" t="s">
        <v>63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64</v>
      </c>
      <c r="AA59">
        <v>0</v>
      </c>
      <c r="AB59" t="s">
        <v>48</v>
      </c>
      <c r="AC59" t="s">
        <v>48</v>
      </c>
      <c r="AD59">
        <v>0</v>
      </c>
      <c r="AE59">
        <v>57</v>
      </c>
      <c r="AF59">
        <v>518</v>
      </c>
      <c r="AG59" t="s">
        <v>50</v>
      </c>
      <c r="AH59" s="1">
        <v>46005</v>
      </c>
      <c r="AI59" t="s">
        <v>51</v>
      </c>
    </row>
    <row r="60" spans="1:35" ht="15.75" x14ac:dyDescent="0.25">
      <c r="A60" t="s">
        <v>35</v>
      </c>
      <c r="B60" t="s">
        <v>36</v>
      </c>
      <c r="C60" t="s">
        <v>332</v>
      </c>
      <c r="D60" t="s">
        <v>38</v>
      </c>
      <c r="E60" t="s">
        <v>39</v>
      </c>
      <c r="F60" t="s">
        <v>40</v>
      </c>
      <c r="G60" t="s">
        <v>333</v>
      </c>
      <c r="H60" t="s">
        <v>263</v>
      </c>
      <c r="I60" t="s">
        <v>334</v>
      </c>
      <c r="J60" t="s">
        <v>335</v>
      </c>
      <c r="K60" s="1">
        <v>46002.572284120368</v>
      </c>
      <c r="L60" s="1">
        <v>46002.825775949073</v>
      </c>
      <c r="M60" t="s">
        <v>45</v>
      </c>
      <c r="N60" t="s">
        <v>62</v>
      </c>
      <c r="O60">
        <v>550</v>
      </c>
      <c r="P60">
        <v>0</v>
      </c>
      <c r="Q60" t="s">
        <v>63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64</v>
      </c>
      <c r="AA60">
        <v>0</v>
      </c>
      <c r="AB60" t="s">
        <v>48</v>
      </c>
      <c r="AC60" t="s">
        <v>48</v>
      </c>
      <c r="AD60">
        <v>0</v>
      </c>
      <c r="AE60">
        <v>57</v>
      </c>
      <c r="AF60">
        <v>493</v>
      </c>
      <c r="AG60" t="s">
        <v>50</v>
      </c>
      <c r="AH60" s="1">
        <v>46005</v>
      </c>
      <c r="AI60" t="s">
        <v>51</v>
      </c>
    </row>
    <row r="61" spans="1:35" ht="15.75" x14ac:dyDescent="0.25">
      <c r="A61" t="s">
        <v>35</v>
      </c>
      <c r="B61" t="s">
        <v>36</v>
      </c>
      <c r="C61" t="s">
        <v>336</v>
      </c>
      <c r="D61" t="s">
        <v>38</v>
      </c>
      <c r="E61" t="s">
        <v>39</v>
      </c>
      <c r="F61" t="s">
        <v>40</v>
      </c>
      <c r="G61" t="s">
        <v>337</v>
      </c>
      <c r="H61" t="s">
        <v>93</v>
      </c>
      <c r="I61" t="s">
        <v>338</v>
      </c>
      <c r="J61" t="s">
        <v>339</v>
      </c>
      <c r="K61" s="1">
        <v>46002.78250666667</v>
      </c>
      <c r="L61" s="1">
        <v>46002.880759872685</v>
      </c>
      <c r="M61" t="s">
        <v>45</v>
      </c>
      <c r="N61" t="s">
        <v>340</v>
      </c>
      <c r="O61">
        <v>575</v>
      </c>
      <c r="P61">
        <v>0</v>
      </c>
      <c r="Q61" t="s">
        <v>71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72</v>
      </c>
      <c r="AA61">
        <v>0</v>
      </c>
      <c r="AB61" t="s">
        <v>48</v>
      </c>
      <c r="AC61" t="s">
        <v>48</v>
      </c>
      <c r="AD61">
        <v>0</v>
      </c>
      <c r="AE61">
        <v>68.400000000000006</v>
      </c>
      <c r="AF61">
        <v>506.6</v>
      </c>
      <c r="AG61" t="s">
        <v>50</v>
      </c>
      <c r="AH61" s="1">
        <v>46005</v>
      </c>
      <c r="AI61" t="s">
        <v>51</v>
      </c>
    </row>
    <row r="62" spans="1:35" ht="15.75" x14ac:dyDescent="0.25">
      <c r="A62" t="s">
        <v>35</v>
      </c>
      <c r="B62" t="s">
        <v>36</v>
      </c>
      <c r="C62" t="s">
        <v>341</v>
      </c>
      <c r="D62" t="s">
        <v>38</v>
      </c>
      <c r="E62" t="s">
        <v>39</v>
      </c>
      <c r="F62" t="s">
        <v>40</v>
      </c>
      <c r="G62" t="s">
        <v>342</v>
      </c>
      <c r="H62" t="s">
        <v>59</v>
      </c>
      <c r="I62" t="s">
        <v>343</v>
      </c>
      <c r="J62" t="s">
        <v>344</v>
      </c>
      <c r="K62" s="1">
        <v>46002.608360763887</v>
      </c>
      <c r="L62" s="1">
        <v>46002.89810283565</v>
      </c>
      <c r="M62" t="s">
        <v>45</v>
      </c>
      <c r="N62" t="s">
        <v>62</v>
      </c>
      <c r="O62">
        <v>550</v>
      </c>
      <c r="P62">
        <v>0</v>
      </c>
      <c r="Q62" t="s">
        <v>63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64</v>
      </c>
      <c r="AA62">
        <v>0</v>
      </c>
      <c r="AB62" t="s">
        <v>48</v>
      </c>
      <c r="AC62" t="s">
        <v>48</v>
      </c>
      <c r="AD62">
        <v>0</v>
      </c>
      <c r="AE62">
        <v>57</v>
      </c>
      <c r="AF62">
        <v>493</v>
      </c>
      <c r="AG62" t="s">
        <v>50</v>
      </c>
      <c r="AH62" s="1">
        <v>46005</v>
      </c>
      <c r="AI62" t="s">
        <v>51</v>
      </c>
    </row>
    <row r="63" spans="1:35" ht="15.75" x14ac:dyDescent="0.25">
      <c r="A63" t="s">
        <v>35</v>
      </c>
      <c r="B63" t="s">
        <v>36</v>
      </c>
      <c r="C63" t="s">
        <v>345</v>
      </c>
      <c r="D63" t="s">
        <v>38</v>
      </c>
      <c r="E63" t="s">
        <v>39</v>
      </c>
      <c r="F63" t="s">
        <v>40</v>
      </c>
      <c r="G63" t="s">
        <v>346</v>
      </c>
      <c r="H63" t="s">
        <v>116</v>
      </c>
      <c r="I63" t="s">
        <v>347</v>
      </c>
      <c r="J63" t="s">
        <v>348</v>
      </c>
      <c r="K63" s="1">
        <v>46002.51539429398</v>
      </c>
      <c r="L63" s="1">
        <v>46002.918946759259</v>
      </c>
      <c r="M63" t="s">
        <v>45</v>
      </c>
      <c r="N63" t="s">
        <v>349</v>
      </c>
      <c r="O63">
        <v>500</v>
      </c>
      <c r="P63">
        <v>0</v>
      </c>
      <c r="Q63" t="s">
        <v>350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351</v>
      </c>
      <c r="AA63">
        <v>0</v>
      </c>
      <c r="AB63" t="s">
        <v>48</v>
      </c>
      <c r="AC63" t="s">
        <v>48</v>
      </c>
      <c r="AD63">
        <v>0</v>
      </c>
      <c r="AE63">
        <v>114</v>
      </c>
      <c r="AF63">
        <v>386</v>
      </c>
      <c r="AG63" t="s">
        <v>50</v>
      </c>
      <c r="AH63" s="1">
        <v>46005</v>
      </c>
      <c r="AI63" t="s">
        <v>51</v>
      </c>
    </row>
  </sheetData>
  <autoFilter ref="A1:AI63"/>
  <pageMargins left="0.7" right="0.7" top="0.75" bottom="0.75" header="0.3" footer="0.3"/>
  <ignoredErrors>
    <ignoredError sqref="A1:AI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B1" workbookViewId="0">
      <selection activeCell="O11" sqref="O11"/>
    </sheetView>
  </sheetViews>
  <sheetFormatPr defaultRowHeight="15.75" x14ac:dyDescent="0.25"/>
  <cols>
    <col min="1" max="1" width="28.375" customWidth="1"/>
    <col min="12" max="12" width="15.5" bestFit="1" customWidth="1"/>
    <col min="13" max="13" width="12.875" customWidth="1"/>
    <col min="14" max="14" width="12.125" customWidth="1"/>
    <col min="15" max="15" width="14.875" bestFit="1" customWidth="1"/>
  </cols>
  <sheetData>
    <row r="1" spans="1:15" ht="18" x14ac:dyDescent="0.25">
      <c r="A1" t="s">
        <v>352</v>
      </c>
      <c r="G1" t="s">
        <v>353</v>
      </c>
      <c r="H1" t="s">
        <v>356</v>
      </c>
      <c r="I1" t="s">
        <v>354</v>
      </c>
      <c r="L1" s="8" t="s">
        <v>368</v>
      </c>
      <c r="M1" s="8"/>
      <c r="N1" s="8"/>
      <c r="O1" s="8"/>
    </row>
    <row r="2" spans="1:15" ht="18.75" x14ac:dyDescent="0.3">
      <c r="A2" t="s">
        <v>42</v>
      </c>
      <c r="B2">
        <v>550</v>
      </c>
      <c r="C2">
        <v>0</v>
      </c>
      <c r="D2">
        <v>81</v>
      </c>
      <c r="E2">
        <v>11.34</v>
      </c>
      <c r="I2">
        <v>1</v>
      </c>
      <c r="L2" s="9" t="s">
        <v>355</v>
      </c>
      <c r="M2" s="9" t="s">
        <v>366</v>
      </c>
      <c r="N2" s="9" t="s">
        <v>357</v>
      </c>
      <c r="O2" s="9" t="s">
        <v>367</v>
      </c>
    </row>
    <row r="3" spans="1:15" x14ac:dyDescent="0.25">
      <c r="A3" t="s">
        <v>54</v>
      </c>
      <c r="B3">
        <v>955</v>
      </c>
      <c r="C3">
        <v>0</v>
      </c>
      <c r="D3">
        <v>81</v>
      </c>
      <c r="E3">
        <v>11.34</v>
      </c>
      <c r="G3">
        <v>2</v>
      </c>
      <c r="L3" t="s">
        <v>353</v>
      </c>
      <c r="M3">
        <f>G64</f>
        <v>19</v>
      </c>
      <c r="N3">
        <v>180</v>
      </c>
      <c r="O3">
        <f>M3*N3</f>
        <v>3420</v>
      </c>
    </row>
    <row r="4" spans="1:15" x14ac:dyDescent="0.25">
      <c r="A4" t="s">
        <v>59</v>
      </c>
      <c r="B4">
        <v>530</v>
      </c>
      <c r="C4">
        <v>0</v>
      </c>
      <c r="D4">
        <v>50</v>
      </c>
      <c r="E4">
        <v>7</v>
      </c>
      <c r="G4">
        <v>1</v>
      </c>
      <c r="L4" t="s">
        <v>356</v>
      </c>
      <c r="M4">
        <v>6</v>
      </c>
      <c r="N4">
        <v>180</v>
      </c>
      <c r="O4">
        <f>M4*N4</f>
        <v>1080</v>
      </c>
    </row>
    <row r="5" spans="1:15" x14ac:dyDescent="0.25">
      <c r="A5" t="s">
        <v>67</v>
      </c>
      <c r="B5">
        <v>530</v>
      </c>
      <c r="C5">
        <v>0</v>
      </c>
      <c r="D5">
        <v>60</v>
      </c>
      <c r="E5">
        <v>8.4</v>
      </c>
      <c r="G5">
        <v>1</v>
      </c>
      <c r="L5" t="s">
        <v>354</v>
      </c>
      <c r="M5">
        <v>49</v>
      </c>
      <c r="N5">
        <v>195</v>
      </c>
      <c r="O5">
        <f>M5*N5</f>
        <v>9555</v>
      </c>
    </row>
    <row r="6" spans="1:15" ht="18.75" x14ac:dyDescent="0.3">
      <c r="A6" t="s">
        <v>75</v>
      </c>
      <c r="B6">
        <v>560</v>
      </c>
      <c r="C6">
        <v>0</v>
      </c>
      <c r="D6">
        <v>60</v>
      </c>
      <c r="E6">
        <v>8.4</v>
      </c>
      <c r="I6">
        <v>1</v>
      </c>
      <c r="M6" s="10">
        <f>SUM(M3:M5)</f>
        <v>74</v>
      </c>
      <c r="O6" s="10">
        <f>SUM(O3:O5)</f>
        <v>14055</v>
      </c>
    </row>
    <row r="7" spans="1:15" x14ac:dyDescent="0.25">
      <c r="A7" t="s">
        <v>59</v>
      </c>
      <c r="B7">
        <v>550</v>
      </c>
      <c r="C7">
        <v>0</v>
      </c>
      <c r="D7">
        <v>60</v>
      </c>
      <c r="E7">
        <v>8.4</v>
      </c>
      <c r="G7">
        <v>1</v>
      </c>
    </row>
    <row r="8" spans="1:15" x14ac:dyDescent="0.25">
      <c r="A8" t="s">
        <v>85</v>
      </c>
      <c r="B8">
        <v>600</v>
      </c>
      <c r="C8">
        <v>0</v>
      </c>
      <c r="D8">
        <v>71</v>
      </c>
      <c r="E8">
        <v>9.94</v>
      </c>
      <c r="I8">
        <v>1</v>
      </c>
    </row>
    <row r="9" spans="1:15" x14ac:dyDescent="0.25">
      <c r="A9" t="s">
        <v>93</v>
      </c>
      <c r="B9">
        <v>575</v>
      </c>
      <c r="C9">
        <v>0</v>
      </c>
      <c r="D9">
        <v>50</v>
      </c>
      <c r="E9">
        <v>7</v>
      </c>
      <c r="I9">
        <v>1</v>
      </c>
    </row>
    <row r="10" spans="1:15" x14ac:dyDescent="0.25">
      <c r="A10" t="s">
        <v>99</v>
      </c>
      <c r="B10">
        <v>430</v>
      </c>
      <c r="C10">
        <v>0</v>
      </c>
      <c r="D10">
        <v>54</v>
      </c>
      <c r="E10">
        <v>7.56</v>
      </c>
      <c r="G10">
        <v>1</v>
      </c>
    </row>
    <row r="11" spans="1:15" x14ac:dyDescent="0.25">
      <c r="A11" t="s">
        <v>93</v>
      </c>
      <c r="B11">
        <v>575</v>
      </c>
      <c r="C11">
        <v>0</v>
      </c>
      <c r="D11">
        <v>50</v>
      </c>
      <c r="E11">
        <v>7</v>
      </c>
      <c r="I11">
        <v>1</v>
      </c>
    </row>
    <row r="12" spans="1:15" x14ac:dyDescent="0.25">
      <c r="A12" t="s">
        <v>111</v>
      </c>
      <c r="B12">
        <v>575</v>
      </c>
      <c r="C12">
        <v>0</v>
      </c>
      <c r="D12">
        <v>50</v>
      </c>
      <c r="E12">
        <v>7</v>
      </c>
      <c r="I12">
        <v>1</v>
      </c>
    </row>
    <row r="13" spans="1:15" x14ac:dyDescent="0.25">
      <c r="A13" t="s">
        <v>116</v>
      </c>
      <c r="B13">
        <v>575</v>
      </c>
      <c r="C13">
        <v>0</v>
      </c>
      <c r="D13">
        <v>50</v>
      </c>
      <c r="E13">
        <v>7</v>
      </c>
      <c r="I13">
        <v>1</v>
      </c>
    </row>
    <row r="14" spans="1:15" x14ac:dyDescent="0.25">
      <c r="A14" t="s">
        <v>42</v>
      </c>
      <c r="B14">
        <v>575</v>
      </c>
      <c r="C14">
        <v>0</v>
      </c>
      <c r="D14">
        <v>50</v>
      </c>
      <c r="E14">
        <v>7</v>
      </c>
      <c r="I14">
        <v>1</v>
      </c>
    </row>
    <row r="15" spans="1:15" x14ac:dyDescent="0.25">
      <c r="A15" t="s">
        <v>93</v>
      </c>
      <c r="B15">
        <v>0</v>
      </c>
      <c r="C15">
        <v>575</v>
      </c>
      <c r="D15">
        <v>71</v>
      </c>
      <c r="E15">
        <v>9.94</v>
      </c>
      <c r="I15">
        <v>1</v>
      </c>
    </row>
    <row r="16" spans="1:15" x14ac:dyDescent="0.25">
      <c r="A16" t="s">
        <v>130</v>
      </c>
      <c r="B16">
        <v>530</v>
      </c>
      <c r="C16">
        <v>0</v>
      </c>
      <c r="D16">
        <v>50</v>
      </c>
      <c r="E16">
        <v>7</v>
      </c>
      <c r="G16">
        <v>1</v>
      </c>
    </row>
    <row r="17" spans="1:9" x14ac:dyDescent="0.25">
      <c r="A17" t="s">
        <v>111</v>
      </c>
      <c r="B17">
        <v>510</v>
      </c>
      <c r="C17">
        <v>0</v>
      </c>
      <c r="D17">
        <v>50</v>
      </c>
      <c r="E17">
        <v>7</v>
      </c>
      <c r="I17">
        <v>1</v>
      </c>
    </row>
    <row r="18" spans="1:9" x14ac:dyDescent="0.25">
      <c r="A18" t="s">
        <v>139</v>
      </c>
      <c r="B18">
        <v>990</v>
      </c>
      <c r="C18">
        <v>0</v>
      </c>
      <c r="D18">
        <v>50</v>
      </c>
      <c r="E18">
        <v>7</v>
      </c>
      <c r="I18">
        <v>2</v>
      </c>
    </row>
    <row r="19" spans="1:9" x14ac:dyDescent="0.25">
      <c r="A19" t="s">
        <v>144</v>
      </c>
      <c r="B19">
        <v>550</v>
      </c>
      <c r="C19">
        <v>0</v>
      </c>
      <c r="D19">
        <v>71</v>
      </c>
      <c r="E19">
        <v>9.94</v>
      </c>
      <c r="H19">
        <v>1</v>
      </c>
    </row>
    <row r="20" spans="1:9" x14ac:dyDescent="0.25">
      <c r="A20" t="s">
        <v>75</v>
      </c>
      <c r="B20">
        <v>575</v>
      </c>
      <c r="C20">
        <v>0</v>
      </c>
      <c r="D20">
        <v>50</v>
      </c>
      <c r="E20">
        <v>7</v>
      </c>
      <c r="I20">
        <v>1</v>
      </c>
    </row>
    <row r="21" spans="1:9" x14ac:dyDescent="0.25">
      <c r="A21" t="s">
        <v>154</v>
      </c>
      <c r="B21">
        <v>550</v>
      </c>
      <c r="C21">
        <v>0</v>
      </c>
      <c r="D21">
        <v>50</v>
      </c>
      <c r="E21">
        <v>7</v>
      </c>
      <c r="G21">
        <v>1</v>
      </c>
    </row>
    <row r="22" spans="1:9" x14ac:dyDescent="0.25">
      <c r="A22" t="s">
        <v>42</v>
      </c>
      <c r="B22">
        <v>575</v>
      </c>
      <c r="C22">
        <v>0</v>
      </c>
      <c r="D22">
        <v>50</v>
      </c>
      <c r="E22">
        <v>7</v>
      </c>
      <c r="I22">
        <v>1</v>
      </c>
    </row>
    <row r="23" spans="1:9" x14ac:dyDescent="0.25">
      <c r="A23" t="s">
        <v>163</v>
      </c>
      <c r="B23">
        <v>575</v>
      </c>
      <c r="C23">
        <v>0</v>
      </c>
      <c r="D23">
        <v>50</v>
      </c>
      <c r="E23">
        <v>7</v>
      </c>
      <c r="I23">
        <v>1</v>
      </c>
    </row>
    <row r="24" spans="1:9" x14ac:dyDescent="0.25">
      <c r="A24" t="s">
        <v>75</v>
      </c>
      <c r="B24">
        <v>560</v>
      </c>
      <c r="C24">
        <v>0</v>
      </c>
      <c r="D24">
        <v>50</v>
      </c>
      <c r="E24">
        <v>7</v>
      </c>
      <c r="I24">
        <v>1</v>
      </c>
    </row>
    <row r="25" spans="1:9" x14ac:dyDescent="0.25">
      <c r="A25" t="s">
        <v>93</v>
      </c>
      <c r="B25">
        <v>575</v>
      </c>
      <c r="C25">
        <v>0</v>
      </c>
      <c r="D25">
        <v>54</v>
      </c>
      <c r="E25">
        <v>7.56</v>
      </c>
      <c r="I25">
        <v>1</v>
      </c>
    </row>
    <row r="26" spans="1:9" x14ac:dyDescent="0.25">
      <c r="A26" t="s">
        <v>93</v>
      </c>
      <c r="B26">
        <v>575</v>
      </c>
      <c r="C26">
        <v>0</v>
      </c>
      <c r="D26">
        <v>50</v>
      </c>
      <c r="E26">
        <v>7</v>
      </c>
      <c r="I26">
        <v>1</v>
      </c>
    </row>
    <row r="27" spans="1:9" x14ac:dyDescent="0.25">
      <c r="A27" t="s">
        <v>180</v>
      </c>
      <c r="B27">
        <v>575</v>
      </c>
      <c r="C27">
        <v>0</v>
      </c>
      <c r="D27">
        <v>54</v>
      </c>
      <c r="E27">
        <v>7.56</v>
      </c>
      <c r="I27">
        <v>1</v>
      </c>
    </row>
    <row r="28" spans="1:9" x14ac:dyDescent="0.25">
      <c r="A28" t="s">
        <v>93</v>
      </c>
      <c r="B28">
        <v>575</v>
      </c>
      <c r="C28">
        <v>0</v>
      </c>
      <c r="D28">
        <v>50</v>
      </c>
      <c r="E28">
        <v>7</v>
      </c>
      <c r="I28">
        <v>1</v>
      </c>
    </row>
    <row r="29" spans="1:9" x14ac:dyDescent="0.25">
      <c r="A29" t="s">
        <v>93</v>
      </c>
      <c r="B29">
        <v>575</v>
      </c>
      <c r="C29">
        <v>0</v>
      </c>
      <c r="D29">
        <v>54</v>
      </c>
      <c r="E29">
        <v>7.56</v>
      </c>
      <c r="I29">
        <v>1</v>
      </c>
    </row>
    <row r="30" spans="1:9" x14ac:dyDescent="0.25">
      <c r="A30" t="s">
        <v>130</v>
      </c>
      <c r="B30">
        <v>430</v>
      </c>
      <c r="C30">
        <v>0</v>
      </c>
      <c r="D30">
        <v>50</v>
      </c>
      <c r="E30">
        <v>7</v>
      </c>
      <c r="G30">
        <v>1</v>
      </c>
    </row>
    <row r="31" spans="1:9" x14ac:dyDescent="0.25">
      <c r="A31" t="s">
        <v>198</v>
      </c>
      <c r="B31">
        <v>575</v>
      </c>
      <c r="C31">
        <v>0</v>
      </c>
      <c r="D31">
        <v>81</v>
      </c>
      <c r="E31">
        <v>11.34</v>
      </c>
      <c r="I31">
        <v>1</v>
      </c>
    </row>
    <row r="32" spans="1:9" x14ac:dyDescent="0.25">
      <c r="A32" t="s">
        <v>75</v>
      </c>
      <c r="B32">
        <v>560</v>
      </c>
      <c r="C32">
        <v>0</v>
      </c>
      <c r="D32">
        <v>50</v>
      </c>
      <c r="E32">
        <v>7</v>
      </c>
      <c r="I32">
        <v>1</v>
      </c>
    </row>
    <row r="33" spans="1:9" x14ac:dyDescent="0.25">
      <c r="A33" t="s">
        <v>208</v>
      </c>
      <c r="B33">
        <v>1035</v>
      </c>
      <c r="C33">
        <v>0</v>
      </c>
      <c r="D33">
        <v>50</v>
      </c>
      <c r="E33">
        <v>7</v>
      </c>
      <c r="H33">
        <v>2</v>
      </c>
    </row>
    <row r="34" spans="1:9" x14ac:dyDescent="0.25">
      <c r="A34" t="s">
        <v>213</v>
      </c>
      <c r="B34">
        <v>550</v>
      </c>
      <c r="C34">
        <v>0</v>
      </c>
      <c r="D34">
        <v>50</v>
      </c>
      <c r="E34">
        <v>7</v>
      </c>
      <c r="H34">
        <v>1</v>
      </c>
    </row>
    <row r="35" spans="1:9" x14ac:dyDescent="0.25">
      <c r="A35" t="s">
        <v>75</v>
      </c>
      <c r="B35">
        <v>575</v>
      </c>
      <c r="C35">
        <v>0</v>
      </c>
      <c r="D35">
        <v>50</v>
      </c>
      <c r="E35">
        <v>7</v>
      </c>
      <c r="I35">
        <v>1</v>
      </c>
    </row>
    <row r="36" spans="1:9" x14ac:dyDescent="0.25">
      <c r="A36" t="s">
        <v>130</v>
      </c>
      <c r="B36">
        <v>550</v>
      </c>
      <c r="C36">
        <v>0</v>
      </c>
      <c r="D36">
        <v>60</v>
      </c>
      <c r="E36">
        <v>8.4</v>
      </c>
      <c r="G36">
        <v>1</v>
      </c>
    </row>
    <row r="37" spans="1:9" x14ac:dyDescent="0.25">
      <c r="A37" t="s">
        <v>42</v>
      </c>
      <c r="B37">
        <v>575</v>
      </c>
      <c r="C37">
        <v>0</v>
      </c>
      <c r="D37">
        <v>50</v>
      </c>
      <c r="E37">
        <v>7</v>
      </c>
      <c r="I37">
        <v>1</v>
      </c>
    </row>
    <row r="38" spans="1:9" x14ac:dyDescent="0.25">
      <c r="A38" t="s">
        <v>230</v>
      </c>
      <c r="B38">
        <v>955</v>
      </c>
      <c r="C38">
        <v>0</v>
      </c>
      <c r="D38">
        <v>60</v>
      </c>
      <c r="E38">
        <v>8.4</v>
      </c>
      <c r="G38">
        <v>1</v>
      </c>
      <c r="H38">
        <v>1</v>
      </c>
    </row>
    <row r="39" spans="1:9" x14ac:dyDescent="0.25">
      <c r="A39" t="s">
        <v>235</v>
      </c>
      <c r="B39">
        <v>575</v>
      </c>
      <c r="C39">
        <v>0</v>
      </c>
      <c r="D39">
        <v>60</v>
      </c>
      <c r="E39">
        <v>8.4</v>
      </c>
      <c r="I39">
        <v>1</v>
      </c>
    </row>
    <row r="40" spans="1:9" x14ac:dyDescent="0.25">
      <c r="A40" t="s">
        <v>42</v>
      </c>
      <c r="B40">
        <v>575</v>
      </c>
      <c r="C40">
        <v>0</v>
      </c>
      <c r="D40">
        <v>54</v>
      </c>
      <c r="E40">
        <v>7.56</v>
      </c>
      <c r="I40">
        <v>1</v>
      </c>
    </row>
    <row r="41" spans="1:9" x14ac:dyDescent="0.25">
      <c r="A41" t="s">
        <v>75</v>
      </c>
      <c r="B41">
        <v>560</v>
      </c>
      <c r="C41">
        <v>0</v>
      </c>
      <c r="D41">
        <v>81</v>
      </c>
      <c r="E41">
        <v>11.34</v>
      </c>
      <c r="I41">
        <v>1</v>
      </c>
    </row>
    <row r="42" spans="1:9" x14ac:dyDescent="0.25">
      <c r="A42" t="s">
        <v>67</v>
      </c>
      <c r="B42">
        <v>510</v>
      </c>
      <c r="C42">
        <v>0</v>
      </c>
      <c r="D42">
        <v>50</v>
      </c>
      <c r="E42">
        <v>7</v>
      </c>
      <c r="G42">
        <v>1</v>
      </c>
    </row>
    <row r="43" spans="1:9" x14ac:dyDescent="0.25">
      <c r="A43" t="s">
        <v>254</v>
      </c>
      <c r="B43">
        <v>955</v>
      </c>
      <c r="C43">
        <v>0</v>
      </c>
      <c r="D43">
        <v>50</v>
      </c>
      <c r="E43">
        <v>7</v>
      </c>
      <c r="G43">
        <v>1</v>
      </c>
      <c r="H43">
        <v>1</v>
      </c>
    </row>
    <row r="44" spans="1:9" x14ac:dyDescent="0.25">
      <c r="A44" t="s">
        <v>85</v>
      </c>
      <c r="B44">
        <v>560</v>
      </c>
      <c r="C44">
        <v>0</v>
      </c>
      <c r="D44">
        <v>50</v>
      </c>
      <c r="E44">
        <v>7</v>
      </c>
      <c r="I44">
        <v>1</v>
      </c>
    </row>
    <row r="45" spans="1:9" x14ac:dyDescent="0.25">
      <c r="A45" t="s">
        <v>263</v>
      </c>
      <c r="B45">
        <v>430</v>
      </c>
      <c r="C45">
        <v>0</v>
      </c>
      <c r="D45">
        <v>50</v>
      </c>
      <c r="E45">
        <v>7</v>
      </c>
      <c r="G45">
        <v>1</v>
      </c>
    </row>
    <row r="46" spans="1:9" x14ac:dyDescent="0.25">
      <c r="A46" t="s">
        <v>268</v>
      </c>
      <c r="B46">
        <v>995</v>
      </c>
      <c r="C46">
        <v>0</v>
      </c>
      <c r="D46">
        <v>50</v>
      </c>
      <c r="E46">
        <v>7</v>
      </c>
      <c r="I46">
        <v>2</v>
      </c>
    </row>
    <row r="47" spans="1:9" x14ac:dyDescent="0.25">
      <c r="A47" t="s">
        <v>273</v>
      </c>
      <c r="B47">
        <v>990</v>
      </c>
      <c r="C47">
        <v>0</v>
      </c>
      <c r="D47">
        <v>50</v>
      </c>
      <c r="E47">
        <v>7</v>
      </c>
      <c r="I47">
        <v>2</v>
      </c>
    </row>
    <row r="48" spans="1:9" x14ac:dyDescent="0.25">
      <c r="A48" t="s">
        <v>278</v>
      </c>
      <c r="B48">
        <v>430</v>
      </c>
      <c r="C48">
        <v>0</v>
      </c>
      <c r="D48">
        <v>50</v>
      </c>
      <c r="E48">
        <v>7</v>
      </c>
      <c r="G48">
        <v>1</v>
      </c>
    </row>
    <row r="49" spans="1:9" x14ac:dyDescent="0.25">
      <c r="A49" t="s">
        <v>283</v>
      </c>
      <c r="B49">
        <v>1200</v>
      </c>
      <c r="C49">
        <v>0</v>
      </c>
      <c r="D49">
        <v>50</v>
      </c>
      <c r="E49">
        <v>7</v>
      </c>
      <c r="I49">
        <v>3</v>
      </c>
    </row>
    <row r="50" spans="1:9" x14ac:dyDescent="0.25">
      <c r="A50" t="s">
        <v>283</v>
      </c>
      <c r="B50">
        <v>1200</v>
      </c>
      <c r="C50">
        <v>0</v>
      </c>
      <c r="D50">
        <v>60</v>
      </c>
      <c r="E50">
        <v>8.4</v>
      </c>
      <c r="I50">
        <v>3</v>
      </c>
    </row>
    <row r="51" spans="1:9" x14ac:dyDescent="0.25">
      <c r="A51" t="s">
        <v>235</v>
      </c>
      <c r="B51">
        <v>575</v>
      </c>
      <c r="C51">
        <v>0</v>
      </c>
      <c r="D51">
        <v>60</v>
      </c>
      <c r="E51">
        <v>8.4</v>
      </c>
      <c r="I51">
        <v>1</v>
      </c>
    </row>
    <row r="52" spans="1:9" x14ac:dyDescent="0.25">
      <c r="A52" t="s">
        <v>75</v>
      </c>
      <c r="B52">
        <v>575</v>
      </c>
      <c r="C52">
        <v>0</v>
      </c>
      <c r="D52">
        <v>60</v>
      </c>
      <c r="E52">
        <v>8.4</v>
      </c>
      <c r="I52">
        <v>1</v>
      </c>
    </row>
    <row r="53" spans="1:9" x14ac:dyDescent="0.25">
      <c r="A53" t="s">
        <v>85</v>
      </c>
      <c r="B53">
        <v>575</v>
      </c>
      <c r="C53">
        <v>0</v>
      </c>
      <c r="D53">
        <v>50</v>
      </c>
      <c r="E53">
        <v>7</v>
      </c>
      <c r="I53">
        <v>1</v>
      </c>
    </row>
    <row r="54" spans="1:9" x14ac:dyDescent="0.25">
      <c r="A54" t="s">
        <v>85</v>
      </c>
      <c r="B54">
        <v>0</v>
      </c>
      <c r="C54">
        <v>575</v>
      </c>
      <c r="D54">
        <v>60</v>
      </c>
      <c r="E54">
        <v>8.4</v>
      </c>
      <c r="I54">
        <v>1</v>
      </c>
    </row>
    <row r="55" spans="1:9" x14ac:dyDescent="0.25">
      <c r="A55" t="s">
        <v>309</v>
      </c>
      <c r="B55">
        <v>575</v>
      </c>
      <c r="C55">
        <v>0</v>
      </c>
      <c r="D55">
        <v>60</v>
      </c>
      <c r="E55">
        <v>8.4</v>
      </c>
      <c r="I55">
        <v>1</v>
      </c>
    </row>
    <row r="56" spans="1:9" x14ac:dyDescent="0.25">
      <c r="A56" t="s">
        <v>314</v>
      </c>
      <c r="B56">
        <v>575</v>
      </c>
      <c r="C56">
        <v>0</v>
      </c>
      <c r="D56">
        <v>60</v>
      </c>
      <c r="E56">
        <v>8.4</v>
      </c>
      <c r="I56">
        <v>1</v>
      </c>
    </row>
    <row r="57" spans="1:9" x14ac:dyDescent="0.25">
      <c r="A57" t="s">
        <v>319</v>
      </c>
      <c r="B57">
        <v>785</v>
      </c>
      <c r="C57">
        <v>0</v>
      </c>
      <c r="D57">
        <v>81</v>
      </c>
      <c r="E57">
        <v>11.34</v>
      </c>
      <c r="G57">
        <v>2</v>
      </c>
    </row>
    <row r="58" spans="1:9" x14ac:dyDescent="0.25">
      <c r="A58" t="s">
        <v>116</v>
      </c>
      <c r="B58">
        <v>575</v>
      </c>
      <c r="C58">
        <v>0</v>
      </c>
      <c r="D58">
        <v>50</v>
      </c>
      <c r="E58">
        <v>7</v>
      </c>
      <c r="I58">
        <v>1</v>
      </c>
    </row>
    <row r="59" spans="1:9" x14ac:dyDescent="0.25">
      <c r="A59" t="s">
        <v>329</v>
      </c>
      <c r="B59">
        <v>575</v>
      </c>
      <c r="C59">
        <v>0</v>
      </c>
      <c r="D59">
        <v>50</v>
      </c>
      <c r="E59">
        <v>7</v>
      </c>
      <c r="I59">
        <v>1</v>
      </c>
    </row>
    <row r="60" spans="1:9" x14ac:dyDescent="0.25">
      <c r="A60" t="s">
        <v>263</v>
      </c>
      <c r="B60">
        <v>550</v>
      </c>
      <c r="C60">
        <v>0</v>
      </c>
      <c r="D60">
        <v>50</v>
      </c>
      <c r="E60">
        <v>7</v>
      </c>
      <c r="G60">
        <v>1</v>
      </c>
    </row>
    <row r="61" spans="1:9" x14ac:dyDescent="0.25">
      <c r="A61" t="s">
        <v>93</v>
      </c>
      <c r="B61">
        <v>575</v>
      </c>
      <c r="C61">
        <v>0</v>
      </c>
      <c r="D61">
        <v>60</v>
      </c>
      <c r="E61">
        <v>8.4</v>
      </c>
      <c r="I61">
        <v>1</v>
      </c>
    </row>
    <row r="62" spans="1:9" x14ac:dyDescent="0.25">
      <c r="A62" t="s">
        <v>59</v>
      </c>
      <c r="B62">
        <v>550</v>
      </c>
      <c r="C62">
        <v>0</v>
      </c>
      <c r="D62">
        <v>50</v>
      </c>
      <c r="E62">
        <v>7</v>
      </c>
      <c r="G62">
        <v>1</v>
      </c>
    </row>
    <row r="63" spans="1:9" x14ac:dyDescent="0.25">
      <c r="A63" t="s">
        <v>116</v>
      </c>
      <c r="B63">
        <v>500</v>
      </c>
      <c r="C63">
        <v>0</v>
      </c>
      <c r="D63">
        <v>100</v>
      </c>
      <c r="E63">
        <v>14</v>
      </c>
      <c r="I63">
        <v>1</v>
      </c>
    </row>
    <row r="64" spans="1:9" x14ac:dyDescent="0.25">
      <c r="B64">
        <f>SUM(B2:B63)</f>
        <v>37640</v>
      </c>
      <c r="C64">
        <f t="shared" ref="C64:E64" si="0">SUM(C2:C63)</f>
        <v>1150</v>
      </c>
      <c r="D64">
        <f t="shared" si="0"/>
        <v>3518</v>
      </c>
      <c r="E64">
        <f t="shared" si="0"/>
        <v>492.5199999999997</v>
      </c>
      <c r="G64">
        <f>SUM(G2:G63)</f>
        <v>19</v>
      </c>
      <c r="H64">
        <f t="shared" ref="H64:I64" si="1">SUM(H2:H63)</f>
        <v>6</v>
      </c>
      <c r="I64">
        <f t="shared" si="1"/>
        <v>49</v>
      </c>
    </row>
    <row r="65" spans="6:6" x14ac:dyDescent="0.25">
      <c r="F65">
        <f>B64+C64-D64-E64-15</f>
        <v>34764.480000000003</v>
      </c>
    </row>
  </sheetData>
  <autoFilter ref="A1:A63"/>
  <mergeCells count="1"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20" sqref="F20"/>
    </sheetView>
  </sheetViews>
  <sheetFormatPr defaultRowHeight="15.75" x14ac:dyDescent="0.25"/>
  <cols>
    <col min="1" max="1" width="27.125" customWidth="1"/>
    <col min="2" max="3" width="14" customWidth="1"/>
    <col min="4" max="4" width="10.625" customWidth="1"/>
  </cols>
  <sheetData>
    <row r="1" spans="1:5" ht="18.75" x14ac:dyDescent="0.25">
      <c r="A1" s="2" t="s">
        <v>365</v>
      </c>
      <c r="B1" s="2"/>
      <c r="C1" s="2"/>
      <c r="D1" s="2"/>
      <c r="E1" s="3"/>
    </row>
    <row r="2" spans="1:5" ht="21" x14ac:dyDescent="0.25">
      <c r="A2" s="4" t="s">
        <v>355</v>
      </c>
      <c r="B2" s="5" t="s">
        <v>353</v>
      </c>
      <c r="C2" s="5" t="s">
        <v>356</v>
      </c>
      <c r="D2" s="5" t="s">
        <v>354</v>
      </c>
      <c r="E2" s="3"/>
    </row>
    <row r="3" spans="1:5" ht="21" x14ac:dyDescent="0.25">
      <c r="A3" s="4" t="s">
        <v>357</v>
      </c>
      <c r="B3" s="6">
        <v>215</v>
      </c>
      <c r="C3" s="6">
        <v>215</v>
      </c>
      <c r="D3" s="6">
        <v>235</v>
      </c>
      <c r="E3" s="3"/>
    </row>
    <row r="4" spans="1:5" ht="21" x14ac:dyDescent="0.25">
      <c r="A4" s="4" t="s">
        <v>358</v>
      </c>
      <c r="B4" s="6">
        <f>Sheet1!G64</f>
        <v>19</v>
      </c>
      <c r="C4" s="6">
        <f>Sheet1!H64</f>
        <v>6</v>
      </c>
      <c r="D4" s="6">
        <f>Sheet1!I64</f>
        <v>49</v>
      </c>
      <c r="E4" s="3"/>
    </row>
    <row r="5" spans="1:5" ht="21" x14ac:dyDescent="0.25">
      <c r="A5" s="4" t="s">
        <v>359</v>
      </c>
      <c r="B5" s="6">
        <f>B3*B4</f>
        <v>4085</v>
      </c>
      <c r="C5" s="6">
        <f t="shared" ref="C5:D5" si="0">C3*C4</f>
        <v>1290</v>
      </c>
      <c r="D5" s="6">
        <f t="shared" si="0"/>
        <v>11515</v>
      </c>
      <c r="E5" s="3">
        <f>SUM(B5:D5)</f>
        <v>16890</v>
      </c>
    </row>
    <row r="6" spans="1:5" ht="18.75" x14ac:dyDescent="0.25">
      <c r="A6" s="7"/>
      <c r="B6" s="7"/>
      <c r="C6" s="7"/>
      <c r="D6" s="7"/>
      <c r="E6" s="3"/>
    </row>
    <row r="7" spans="1:5" ht="21" x14ac:dyDescent="0.25">
      <c r="A7" s="4" t="s">
        <v>360</v>
      </c>
      <c r="B7" s="6">
        <f>Sheet1!B64+Sheet1!C64</f>
        <v>38790</v>
      </c>
      <c r="C7" s="6"/>
      <c r="D7" s="6"/>
      <c r="E7" s="3"/>
    </row>
    <row r="8" spans="1:5" ht="21" x14ac:dyDescent="0.25">
      <c r="A8" s="4" t="s">
        <v>361</v>
      </c>
      <c r="B8" s="6">
        <f>E5</f>
        <v>16890</v>
      </c>
      <c r="C8" s="6"/>
      <c r="D8" s="6"/>
      <c r="E8" s="3"/>
    </row>
    <row r="9" spans="1:5" ht="21" x14ac:dyDescent="0.25">
      <c r="A9" s="4" t="s">
        <v>362</v>
      </c>
      <c r="B9" s="6">
        <f>Sheet1!D64+Sheet1!E64</f>
        <v>4010.5199999999995</v>
      </c>
      <c r="C9" s="6"/>
      <c r="D9" s="6"/>
      <c r="E9" s="3"/>
    </row>
    <row r="10" spans="1:5" ht="21" x14ac:dyDescent="0.25">
      <c r="A10" s="4" t="s">
        <v>363</v>
      </c>
      <c r="B10" s="6">
        <v>0</v>
      </c>
      <c r="C10" s="6"/>
      <c r="D10" s="6"/>
      <c r="E10" s="3"/>
    </row>
    <row r="11" spans="1:5" ht="21" x14ac:dyDescent="0.25">
      <c r="A11" s="4" t="s">
        <v>364</v>
      </c>
      <c r="B11" s="6">
        <f>B7-B8-B9-B10</f>
        <v>17889.48</v>
      </c>
      <c r="C11" s="6"/>
      <c r="D11" s="6"/>
      <c r="E11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Cycles</vt:lpstr>
      <vt:lpstr>Sheet1</vt:lpstr>
      <vt:lpstr>نهائي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ENG-Amira</dc:creator>
  <cp:lastModifiedBy>ENG-Amira</cp:lastModifiedBy>
  <dcterms:created xsi:type="dcterms:W3CDTF">2025-12-14T15:36:43Z</dcterms:created>
  <dcterms:modified xsi:type="dcterms:W3CDTF">2025-12-15T08:17:19Z</dcterms:modified>
</cp:coreProperties>
</file>