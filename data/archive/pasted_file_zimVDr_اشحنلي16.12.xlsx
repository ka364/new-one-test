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70" yWindow="555" windowWidth="19815" windowHeight="9150" activeTab="2"/>
  </bookViews>
  <sheets>
    <sheet name="من شركة الشحن" sheetId="3" r:id="rId1"/>
    <sheet name="اوردرات تسليم" sheetId="1" r:id="rId2"/>
    <sheet name="قطع" sheetId="2" r:id="rId3"/>
  </sheets>
  <definedNames>
    <definedName name="_xlnm._FilterDatabase" localSheetId="0" hidden="1">'من شركة الشحن'!$A$2:$N$50</definedName>
  </definedNames>
  <calcPr calcId="144525" forceFullCalc="1"/>
</workbook>
</file>

<file path=xl/calcChain.xml><?xml version="1.0" encoding="utf-8"?>
<calcChain xmlns="http://schemas.openxmlformats.org/spreadsheetml/2006/main">
  <c r="F4" i="2" l="1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3" i="2"/>
  <c r="H3" i="2" s="1"/>
  <c r="B50" i="3"/>
  <c r="B49" i="3"/>
  <c r="B48" i="3"/>
  <c r="B47" i="3"/>
  <c r="B46" i="3"/>
  <c r="B45" i="3"/>
  <c r="B44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F12" i="2" l="1"/>
  <c r="H12" i="2"/>
</calcChain>
</file>

<file path=xl/sharedStrings.xml><?xml version="1.0" encoding="utf-8"?>
<sst xmlns="http://schemas.openxmlformats.org/spreadsheetml/2006/main" count="892" uniqueCount="306">
  <si>
    <t>العدد</t>
  </si>
  <si>
    <t>رقم الاوردر</t>
  </si>
  <si>
    <t>الرقم المرجعي</t>
  </si>
  <si>
    <t>اسم المستلم</t>
  </si>
  <si>
    <t>اسم الافلييت</t>
  </si>
  <si>
    <t>عمولة الافلييت</t>
  </si>
  <si>
    <t>اسم التاجر</t>
  </si>
  <si>
    <t>مستحق التاجر</t>
  </si>
  <si>
    <t>عمولة المنصة</t>
  </si>
  <si>
    <t>نوع الطلب</t>
  </si>
  <si>
    <t>المحصلة</t>
  </si>
  <si>
    <t>المحافظة</t>
  </si>
  <si>
    <t>المدينة</t>
  </si>
  <si>
    <t>العنوان</t>
  </si>
  <si>
    <t>الهاتف  1</t>
  </si>
  <si>
    <t>الهاتف  2</t>
  </si>
  <si>
    <t>تاريخ الطلب</t>
  </si>
  <si>
    <t>تاريخ المعلقة</t>
  </si>
  <si>
    <t>تاريخ تحت التحضير</t>
  </si>
  <si>
    <t>تاريخ تم التحضير</t>
  </si>
  <si>
    <t>تاريخ الشحن</t>
  </si>
  <si>
    <t>تاريخ اخر حالة</t>
  </si>
  <si>
    <t>الحالة</t>
  </si>
  <si>
    <t>الحالة الفرعية</t>
  </si>
  <si>
    <t>حالة الدفع</t>
  </si>
  <si>
    <t>اسم البنت الي عملتة معلق</t>
  </si>
  <si>
    <t>عدد الجلسات</t>
  </si>
  <si>
    <t>تاريخ اخر جلسة</t>
  </si>
  <si>
    <t>اسم اخر شخص اشتغل  علي الجلسة</t>
  </si>
  <si>
    <t>سبب التأجيل</t>
  </si>
  <si>
    <t>المكان</t>
  </si>
  <si>
    <t>القطع الكلية</t>
  </si>
  <si>
    <t>موديل 1</t>
  </si>
  <si>
    <t>الكمية</t>
  </si>
  <si>
    <t>موديل 2</t>
  </si>
  <si>
    <t>موديل 3</t>
  </si>
  <si>
    <t>موديل 4</t>
  </si>
  <si>
    <t>موديل 5</t>
  </si>
  <si>
    <t>موديل 6</t>
  </si>
  <si>
    <t>موديل 7</t>
  </si>
  <si>
    <t>موديل 8</t>
  </si>
  <si>
    <t>موديل 9</t>
  </si>
  <si>
    <t>موديل 10</t>
  </si>
  <si>
    <t>السعر الكلي بدون الشحن</t>
  </si>
  <si>
    <t>سعر الشحن</t>
  </si>
  <si>
    <t>السعر الكلي بالشحن</t>
  </si>
  <si>
    <t>القيمة الكلية بالشحن للاوردر الجزئي/استبدال</t>
  </si>
  <si>
    <t>القيمة المحصلة</t>
  </si>
  <si>
    <t>القيمة المطلوب تحصيلها must collected</t>
  </si>
  <si>
    <t>العجز في التحصيل</t>
  </si>
  <si>
    <t>تكلفة الشحن للشركة</t>
  </si>
  <si>
    <t>ارباح/خساير الشحن</t>
  </si>
  <si>
    <t>شركة الشحن</t>
  </si>
  <si>
    <t>اسم الصفحه</t>
  </si>
  <si>
    <t>المسوق الفرعي</t>
  </si>
  <si>
    <t>حسن علي حسن</t>
  </si>
  <si>
    <t>NOW SHOES (nowshoes0@gmail.com)</t>
  </si>
  <si>
    <t>NOWSHOES  (nowshoes0@gmail.com)</t>
  </si>
  <si>
    <t>New</t>
  </si>
  <si>
    <t>الجيزة</t>
  </si>
  <si>
    <t>بولاق الدكرور</t>
  </si>
  <si>
    <t>بولاق الدكرور شارع ناهيه شارع الشهيد احمد شعبان</t>
  </si>
  <si>
    <t>01146157818</t>
  </si>
  <si>
    <t>04 Dec 2025</t>
  </si>
  <si>
    <t>06 Dec 2025</t>
  </si>
  <si>
    <t>in_shipping</t>
  </si>
  <si>
    <t>unpaid</t>
  </si>
  <si>
    <t>BO4-B-44</t>
  </si>
  <si>
    <t>BO4-BU-44</t>
  </si>
  <si>
    <t>اشحنلي</t>
  </si>
  <si>
    <t>صفحة الفيس</t>
  </si>
  <si>
    <t>ابراهيم احمد مصطفى</t>
  </si>
  <si>
    <t>سوهاج</t>
  </si>
  <si>
    <t>البلينا</t>
  </si>
  <si>
    <t>سوهاج مركز البلينا قرية الشيخ مرزوق بجوار مدرسة التحرير الاعداديه</t>
  </si>
  <si>
    <t>01098055191</t>
  </si>
  <si>
    <t>05 Dec 2025</t>
  </si>
  <si>
    <t>07 Dec 2025</t>
  </si>
  <si>
    <t>08 Dec 2025</t>
  </si>
  <si>
    <t>SK23-B-43</t>
  </si>
  <si>
    <t>SK23-BU-43</t>
  </si>
  <si>
    <t>SK23-BI-43</t>
  </si>
  <si>
    <t>اوردر خارجي</t>
  </si>
  <si>
    <t>احمد محمد احمد</t>
  </si>
  <si>
    <t>أكتوبر</t>
  </si>
  <si>
    <t>مصر اسكندرية الصحراوي  داندي مول  الدور الارضي</t>
  </si>
  <si>
    <t>01060872994</t>
  </si>
  <si>
    <t>01110222694</t>
  </si>
  <si>
    <t>D2-BU-42</t>
  </si>
  <si>
    <t>SK23-B-42</t>
  </si>
  <si>
    <t>فهد</t>
  </si>
  <si>
    <t>سوهاج مركز البلينا بالحرج ابو القرعان المجمع الاسلامي</t>
  </si>
  <si>
    <t>01111799177</t>
  </si>
  <si>
    <t>BO4-B-42</t>
  </si>
  <si>
    <t>ندي محمود</t>
  </si>
  <si>
    <t>default  (default@admin.com)</t>
  </si>
  <si>
    <t>القاهرة</t>
  </si>
  <si>
    <t>جسر السويس</t>
  </si>
  <si>
    <t>22 شارع 145 متفرع من شارع مسجد الوطنية خلف حديقة بدر جسر السويس</t>
  </si>
  <si>
    <t>01122720211</t>
  </si>
  <si>
    <t>MKF-02-أبيض-39</t>
  </si>
  <si>
    <t>MKF-02-أسود-39</t>
  </si>
  <si>
    <t>MKF-02-رمادي-39</t>
  </si>
  <si>
    <t>معدل بعد الارسال</t>
  </si>
  <si>
    <t>بيشوي الراهب</t>
  </si>
  <si>
    <t>العمرانية</t>
  </si>
  <si>
    <t>شارع ابو صابر خلف سنترال العمرانيه الغربيه  المحافظه الجيزه  المركز قسم العمرانيه</t>
  </si>
  <si>
    <t>01270743263</t>
  </si>
  <si>
    <t>11 Dec 2025</t>
  </si>
  <si>
    <t>D4-B-46</t>
  </si>
  <si>
    <t>D4-W-46</t>
  </si>
  <si>
    <t>D4-G-46</t>
  </si>
  <si>
    <t>محمد زهير عدس</t>
  </si>
  <si>
    <t>القليوبية</t>
  </si>
  <si>
    <t>القناطر الخيرية</t>
  </si>
  <si>
    <t>باسوس شارع جسر النيل بجوار قهوة عباس محطة بحبح</t>
  </si>
  <si>
    <t>01221943202</t>
  </si>
  <si>
    <t>09 Dec 2025</t>
  </si>
  <si>
    <t>SK23-BU-45</t>
  </si>
  <si>
    <t>SK23-BI-45</t>
  </si>
  <si>
    <t>اسلام عبدالرحمن</t>
  </si>
  <si>
    <t>دجلة بالمز اكتوبر الجديدة بوابة ٢ أمام ابني بيتك ٦</t>
  </si>
  <si>
    <t>01005680528</t>
  </si>
  <si>
    <t>AX06-B-44</t>
  </si>
  <si>
    <t>AX06-B-45</t>
  </si>
  <si>
    <t>محمد حسن احمد</t>
  </si>
  <si>
    <t>مدينة نصر</t>
  </si>
  <si>
    <t>9 شارع عمر بن الخطاب متفرع من شارع الورشه مدينة الامل خلف قسم تالت مدينة نصرمدينة نصر  القاهره</t>
  </si>
  <si>
    <t>01009449517</t>
  </si>
  <si>
    <t>10 Dec 2025</t>
  </si>
  <si>
    <t>اسامه عبدالحميد</t>
  </si>
  <si>
    <t>القرية الفرعونية</t>
  </si>
  <si>
    <t>داندي مول بجوار القرية الذكية مكتبة خضيرجيزة</t>
  </si>
  <si>
    <t>01143286283</t>
  </si>
  <si>
    <t>محمود عبدالتواب</t>
  </si>
  <si>
    <t>البدرشين</t>
  </si>
  <si>
    <t>البدرشين الموقف بجوار مستشفي الاقصي البدرشين جيزه</t>
  </si>
  <si>
    <t>01091680255</t>
  </si>
  <si>
    <t>BO4-B-43</t>
  </si>
  <si>
    <t>BO4-W-43</t>
  </si>
  <si>
    <t>جوزيف نشأت</t>
  </si>
  <si>
    <t>شيراتون</t>
  </si>
  <si>
    <t>١٠ شارع فاروق عامر مربع ١١٤٣ مربع الوزراء مساكن شيراتون جانب فندق المساعديه</t>
  </si>
  <si>
    <t>01279496832</t>
  </si>
  <si>
    <t>SK23-BU-42</t>
  </si>
  <si>
    <t>SK23-BI-42</t>
  </si>
  <si>
    <t>دميان فيليب</t>
  </si>
  <si>
    <t>طوخ</t>
  </si>
  <si>
    <t>ش جدة أمام مسجد صلاح الدين بالقرب من جراج أبو طالب الخصوص</t>
  </si>
  <si>
    <t>01228803677</t>
  </si>
  <si>
    <t>D2-G-43</t>
  </si>
  <si>
    <t>هشام المصري&gt;&lt;</t>
  </si>
  <si>
    <t>Admin admin (admin6@admin.com)</t>
  </si>
  <si>
    <t>مصر الجديدة</t>
  </si>
  <si>
    <t>٣١شارع محمد سعيد الحلواني العروبه صلاح سالم خلف عمارة باور القاهرة مصر</t>
  </si>
  <si>
    <t>01144448926</t>
  </si>
  <si>
    <t>01000925159</t>
  </si>
  <si>
    <t>محمد عكرش&gt;&lt;</t>
  </si>
  <si>
    <t>الهرم</t>
  </si>
  <si>
    <t>الهرم مدينة كرداسة أمام النادي الرياضي</t>
  </si>
  <si>
    <t>01064831628</t>
  </si>
  <si>
    <t>13 Dec 2025</t>
  </si>
  <si>
    <t>SK5-B-45</t>
  </si>
  <si>
    <t>SK5-W-45</t>
  </si>
  <si>
    <t>هاجر كمال&gt;&lt;</t>
  </si>
  <si>
    <t>Replace</t>
  </si>
  <si>
    <t>دمياط</t>
  </si>
  <si>
    <t>دمياط الجديده</t>
  </si>
  <si>
    <t>منتصف شارع ١٠٠ امام ماركت ابو العز دمياط الجديده</t>
  </si>
  <si>
    <t>01021206559</t>
  </si>
  <si>
    <t>amira saleh</t>
  </si>
  <si>
    <t>عبدالرحمن احمد عبدالتواب&gt;&lt;</t>
  </si>
  <si>
    <t>بني سويف</t>
  </si>
  <si>
    <t>الاباصيري</t>
  </si>
  <si>
    <t>بني سويف حي الاباصيري ش كردي الجبالي</t>
  </si>
  <si>
    <t>01129421176</t>
  </si>
  <si>
    <t>LK01-W-45</t>
  </si>
  <si>
    <t>امل محمد</t>
  </si>
  <si>
    <t>فيصل</t>
  </si>
  <si>
    <t>العنوان فيصل الطوابق كعبيش ، ٨ شارع جلال صدقي متفرع من ش الاربعين</t>
  </si>
  <si>
    <t>01080096865</t>
  </si>
  <si>
    <t>MKM1-B-44</t>
  </si>
  <si>
    <t>MKM1-G-44</t>
  </si>
  <si>
    <t>محمد</t>
  </si>
  <si>
    <t>اخر شارع مصطفى النحاس، بعد آخر كوبرى، عمارة برستيج الدور السادس شقة 11</t>
  </si>
  <si>
    <t>01211014930</t>
  </si>
  <si>
    <t>D2-B-42</t>
  </si>
  <si>
    <t>D2-G-42</t>
  </si>
  <si>
    <t>6 شارع الفادي متفرع من الدكتور لاشين فيصل الجيزه خلف مدارس المستقبل</t>
  </si>
  <si>
    <t>01064099884</t>
  </si>
  <si>
    <t>12 Dec 2025</t>
  </si>
  <si>
    <t>MKM1-B-43</t>
  </si>
  <si>
    <t>MKM1-G-43</t>
  </si>
  <si>
    <t>وليد محمد علي</t>
  </si>
  <si>
    <t>امبابة</t>
  </si>
  <si>
    <t>امبابه شركه فارما عند محكمه السودان</t>
  </si>
  <si>
    <t>01144531611</t>
  </si>
  <si>
    <t>SK5-B-44</t>
  </si>
  <si>
    <t>SK5-W-44</t>
  </si>
  <si>
    <t>عمرو ربيع نجيب</t>
  </si>
  <si>
    <t>default  (default@admin.com), NOWSHOES  (nowshoes0@gmail.com)</t>
  </si>
  <si>
    <t>عماره B 539 كومبوند دجله  اكتوبر الحيزه</t>
  </si>
  <si>
    <t>01019979974</t>
  </si>
  <si>
    <t>MKF-02-أسود-men_size_(37</t>
  </si>
  <si>
    <t>K1-أسود-46</t>
  </si>
  <si>
    <t>توريد 16-12-2025</t>
  </si>
  <si>
    <t>رقم بوليصه</t>
  </si>
  <si>
    <t>التاريخ</t>
  </si>
  <si>
    <t>الوزن</t>
  </si>
  <si>
    <t>اسم الراسل</t>
  </si>
  <si>
    <t>المنقطه</t>
  </si>
  <si>
    <t xml:space="preserve">اسم المرسل اليه </t>
  </si>
  <si>
    <t>المحافظه</t>
  </si>
  <si>
    <t>الاجمالي</t>
  </si>
  <si>
    <t>الشحن</t>
  </si>
  <si>
    <t>الصافى</t>
  </si>
  <si>
    <t>ملاحظات</t>
  </si>
  <si>
    <t>Now Shoes</t>
  </si>
  <si>
    <t>القاهره</t>
  </si>
  <si>
    <t>القاهرة اكتوبر</t>
  </si>
  <si>
    <t>collected</t>
  </si>
  <si>
    <t>تسليم كامل</t>
  </si>
  <si>
    <t>القاهرة الجيزة</t>
  </si>
  <si>
    <t>6 شارع الفادي ;كعابيش فيصل الجيزه خلف مدارس المستقبل</t>
  </si>
  <si>
    <t>القاهرة رمسيس</t>
  </si>
  <si>
    <t>جزء الاول</t>
  </si>
  <si>
    <t>بنى سويف</t>
  </si>
  <si>
    <t>محمود عادل ابراهيم</t>
  </si>
  <si>
    <t>اكتوبر  الشيخ زايد بعد مستشفي زايد التخصصي  حلواني العبد</t>
  </si>
  <si>
    <t>returned</t>
  </si>
  <si>
    <t>لغى الاوردر</t>
  </si>
  <si>
    <t>محمد عصام</t>
  </si>
  <si>
    <t>التجمع الخامس الحي ال 3 سنتر  مومن حاتي ابو رويدا</t>
  </si>
  <si>
    <t>احمد محمد احمد القطري</t>
  </si>
  <si>
    <t>16شارع احمد امين متفرع من ش محمد مبروك بشتيل بجوار الدائرى</t>
  </si>
  <si>
    <t>احمد كامل احمد</t>
  </si>
  <si>
    <t>1ش مكة من مؤسسة الزكاة كفر الشرفا المرج اعلي صيدلية مروة الدور التاني أمام المصعد</t>
  </si>
  <si>
    <t>القاهرة مصر الجديدة</t>
  </si>
  <si>
    <t>محمد ابو العزم</t>
  </si>
  <si>
    <t>الجيزه بولاق الدكرور ١٦ ش حسن الشريف متفرع من ش سكه المدرسه اول ش شمال بعد مدرسه بولاق الدكرور</t>
  </si>
  <si>
    <t>لا يرد باستمرار</t>
  </si>
  <si>
    <t>محمد علي</t>
  </si>
  <si>
    <t>الجيزه العمرانية الغربية شاررع مستشفى الصدر شارع النادي ابو بكر الصديق</t>
  </si>
  <si>
    <t>استلم من قبل</t>
  </si>
  <si>
    <t>اسلام محمد</t>
  </si>
  <si>
    <t>محافظه الجيزه ارض اللواء برك الخيام شارع عبدالعزيز اللبان</t>
  </si>
  <si>
    <t>عبدالله محمد</t>
  </si>
  <si>
    <t>نزلة إلا شطر  مركز أبو النمرس  الجيزه المنيب</t>
  </si>
  <si>
    <t>محمد هاني</t>
  </si>
  <si>
    <t>العنوان الجيزه مركز العياط قريه كفر حميد</t>
  </si>
  <si>
    <t>يتهرب من الاستلام</t>
  </si>
  <si>
    <t>مجدي ابراهيم السيد</t>
  </si>
  <si>
    <t>محافظة الجيزة مركز البدرشين طريق صقاره العزازيه عند كبرى ابو يوسف</t>
  </si>
  <si>
    <t>يمنى محمد</t>
  </si>
  <si>
    <t>الجيزة٦اكتوبرحي سابع مجاورة اولى شارع انس ابن مالك عمارة ٢٧٣</t>
  </si>
  <si>
    <t>عبدالرحمن</t>
  </si>
  <si>
    <t>6 اكتوبر دريم بارك عند بوابة العاملين</t>
  </si>
  <si>
    <t>بحري</t>
  </si>
  <si>
    <t>محمد ياسر</t>
  </si>
  <si>
    <t>طنطا ش السكه الجديده عند جامع السيد البدوى</t>
  </si>
  <si>
    <t>الدلتا</t>
  </si>
  <si>
    <t>سعيد الريس</t>
  </si>
  <si>
    <t>الغربيه المحله الكبرى منطقه التيسير ش محمد ع السلام  مخزن يونس للادويه وصيدليه ولاء رزيق عل الناصيه  عماره فاطمه الزهراء</t>
  </si>
  <si>
    <t>رفض الاستلام</t>
  </si>
  <si>
    <t>كريم</t>
  </si>
  <si>
    <t>العاشر من رمضان 54</t>
  </si>
  <si>
    <t>الشرقية</t>
  </si>
  <si>
    <t>ام يامن</t>
  </si>
  <si>
    <t>شبرا الخيمه الشارع الجديد محطه ترعه الشابورى ش بطن الجبل أمام صيدلية ندى فوق ماركت صافى برج الجوهرة الدور الرابع</t>
  </si>
  <si>
    <t>وجدي</t>
  </si>
  <si>
    <t>800 فدان اكتوبر الجديده قطاع جيم عماره 19</t>
  </si>
  <si>
    <t>صلاح محمد عبداللاه&gt;&lt;</t>
  </si>
  <si>
    <t>محافظه الجيزة  شارع الشهيد عند مكتبة بابا عبده محل علافة الخطيب</t>
  </si>
  <si>
    <t>محمد جمال</t>
  </si>
  <si>
    <t>٢١ ش حسن عثمان المتفرع من ش المنشية الطوابق فيصل الجيزة الدور السادس شقة ١٢ اعلى دراي كلين الامير</t>
  </si>
  <si>
    <t>يوسف طوبار</t>
  </si>
  <si>
    <t>54ش ترعه الزمر العمرانيه الغربيه</t>
  </si>
  <si>
    <t>محمود عبدالناصر انور</t>
  </si>
  <si>
    <t>٥ شارع ابناء لبنان متفرع من شارع فتحي الموان الطوابق فيصل</t>
  </si>
  <si>
    <t>محمد احمد رشاد</t>
  </si>
  <si>
    <t>محافظة سوهاج  مركز البلينا  قرية اولا عليو  بجوار بريد اولاد عليو</t>
  </si>
  <si>
    <t>طرد مقابل طرد</t>
  </si>
  <si>
    <t>هاجر كارم</t>
  </si>
  <si>
    <t>شبرا الخيمه باسوس محطة بحبح</t>
  </si>
  <si>
    <t>رفض الأستلام ودفع الشحن</t>
  </si>
  <si>
    <t>LNB00000570</t>
  </si>
  <si>
    <t>طارق رشدي</t>
  </si>
  <si>
    <t>470 شارع الترعة البولاقية ميدان الشيخ رمضان شبرا مصر القاهرة اعلى مكتب مينا لتعليم قيادة السيارات</t>
  </si>
  <si>
    <t>استلام طرد</t>
  </si>
  <si>
    <t>اشرف محمد شومر</t>
  </si>
  <si>
    <t>15شارع مسجدالرحمن من ش العروبه بجوارسيدكرشه امبابه جيزه</t>
  </si>
  <si>
    <t>برجاء مراجعة النقدية قبل المغادرة والاحتفاظ بهذه النسخة مع سيادتكم للرجوع إليها فى حالة وجود مشكلة</t>
  </si>
  <si>
    <t>موديل</t>
  </si>
  <si>
    <t>BO4</t>
  </si>
  <si>
    <t>SK23</t>
  </si>
  <si>
    <t>D2</t>
  </si>
  <si>
    <t>MKF</t>
  </si>
  <si>
    <t>D4</t>
  </si>
  <si>
    <t>AX06</t>
  </si>
  <si>
    <t>MKM1</t>
  </si>
  <si>
    <t>SK5</t>
  </si>
  <si>
    <t>K1</t>
  </si>
  <si>
    <t>سعر التوريد</t>
  </si>
  <si>
    <t>عدد القطع</t>
  </si>
  <si>
    <t>استحقاق المصنع</t>
  </si>
  <si>
    <t>قطع تسليم اشحنلي من توريد يوم الثلاثاء 16.12.2025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</si>
</sst>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color rgb="FF000000"/>
      <name val="Arial"/>
      <family val="2"/>
    </font>
    <font>
      <sz val="11"/>
      <color rgb="FF000000"/>
      <name val="Arial"/>
      <family val="2"/>
    </font>
    <font>
      <b/>
      <sz val="21"/>
      <color theme="1"/>
      <name val="Arial"/>
      <family val="2"/>
    </font>
    <font>
      <b/>
      <sz val="8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10"/>
      <name val="MS Sans Serif"/>
      <family val="2"/>
      <charset val="178"/>
    </font>
    <font>
      <sz val="11"/>
      <color theme="1"/>
      <name val="Calibri"/>
      <family val="2"/>
      <charset val="178"/>
      <scheme val="minor"/>
    </font>
    <font>
      <b/>
      <sz val="14"/>
      <color rgb="FF000000"/>
      <name val="Calibri"/>
      <family val="2"/>
    </font>
    <font>
      <b/>
      <sz val="14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5">
    <xf numFmtId="0" fontId="0" fillId="0" borderId="0"/>
    <xf numFmtId="0" fontId="1" fillId="2" borderId="0"/>
    <xf numFmtId="0" fontId="1" fillId="2" borderId="0"/>
    <xf numFmtId="0" fontId="10" fillId="2" borderId="0"/>
    <xf numFmtId="0" fontId="10" fillId="2" borderId="0"/>
    <xf numFmtId="0" fontId="1" fillId="2" borderId="0"/>
    <xf numFmtId="0" fontId="10" fillId="2" borderId="0"/>
    <xf numFmtId="0" fontId="10" fillId="2" borderId="0"/>
    <xf numFmtId="0" fontId="10" fillId="2" borderId="0"/>
    <xf numFmtId="0" fontId="11" fillId="2" borderId="0"/>
    <xf numFmtId="0" fontId="1" fillId="2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1" fillId="2" borderId="0"/>
    <xf numFmtId="0" fontId="1" fillId="2" borderId="0"/>
    <xf numFmtId="0" fontId="10" fillId="2" borderId="0"/>
    <xf numFmtId="0" fontId="1" fillId="2" borderId="0"/>
    <xf numFmtId="0" fontId="1" fillId="2" borderId="0"/>
    <xf numFmtId="0" fontId="1" fillId="2" borderId="0"/>
  </cellStyleXfs>
  <cellXfs count="31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0" fillId="3" borderId="0" xfId="0" applyFill="1"/>
    <xf numFmtId="14" fontId="5" fillId="2" borderId="1" xfId="1" applyNumberFormat="1" applyFont="1" applyBorder="1" applyAlignment="1">
      <alignment horizontal="center" vertical="center"/>
    </xf>
    <xf numFmtId="14" fontId="5" fillId="2" borderId="2" xfId="1" applyNumberFormat="1" applyFont="1" applyBorder="1" applyAlignment="1">
      <alignment horizontal="center" vertical="center"/>
    </xf>
    <xf numFmtId="14" fontId="5" fillId="2" borderId="3" xfId="1" applyNumberFormat="1" applyFont="1" applyBorder="1" applyAlignment="1">
      <alignment horizontal="center" vertical="center"/>
    </xf>
    <xf numFmtId="0" fontId="1" fillId="2" borderId="0" xfId="1"/>
    <xf numFmtId="0" fontId="6" fillId="4" borderId="4" xfId="1" applyNumberFormat="1" applyFont="1" applyFill="1" applyBorder="1" applyAlignment="1">
      <alignment horizontal="center" vertical="center"/>
    </xf>
    <xf numFmtId="14" fontId="6" fillId="4" borderId="4" xfId="1" applyNumberFormat="1" applyFont="1" applyFill="1" applyBorder="1" applyAlignment="1">
      <alignment horizontal="center" vertical="center"/>
    </xf>
    <xf numFmtId="1" fontId="6" fillId="4" borderId="4" xfId="1" applyNumberFormat="1" applyFont="1" applyFill="1" applyBorder="1" applyAlignment="1">
      <alignment horizontal="center" vertical="center"/>
    </xf>
    <xf numFmtId="0" fontId="6" fillId="4" borderId="4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14" fontId="6" fillId="2" borderId="5" xfId="1" applyNumberFormat="1" applyFont="1" applyFill="1" applyBorder="1" applyAlignment="1">
      <alignment horizontal="center" vertical="center"/>
    </xf>
    <xf numFmtId="0" fontId="6" fillId="2" borderId="5" xfId="1" applyFont="1" applyBorder="1" applyAlignment="1">
      <alignment horizontal="center" vertical="center"/>
    </xf>
    <xf numFmtId="0" fontId="6" fillId="2" borderId="5" xfId="1" applyNumberFormat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6" fillId="2" borderId="4" xfId="1" applyFont="1" applyBorder="1" applyAlignment="1">
      <alignment horizontal="center" vertical="center"/>
    </xf>
    <xf numFmtId="1" fontId="7" fillId="4" borderId="1" xfId="1" applyNumberFormat="1" applyFont="1" applyFill="1" applyBorder="1" applyAlignment="1">
      <alignment horizontal="center" vertical="center"/>
    </xf>
    <xf numFmtId="1" fontId="7" fillId="4" borderId="2" xfId="1" applyNumberFormat="1" applyFont="1" applyFill="1" applyBorder="1" applyAlignment="1">
      <alignment horizontal="center" vertical="center"/>
    </xf>
    <xf numFmtId="1" fontId="7" fillId="4" borderId="3" xfId="1" applyNumberFormat="1" applyFont="1" applyFill="1" applyBorder="1" applyAlignment="1">
      <alignment horizontal="center" vertical="center"/>
    </xf>
    <xf numFmtId="0" fontId="8" fillId="2" borderId="4" xfId="1" applyFont="1" applyBorder="1" applyAlignment="1">
      <alignment horizontal="center" vertical="center"/>
    </xf>
    <xf numFmtId="0" fontId="8" fillId="2" borderId="1" xfId="1" applyNumberFormat="1" applyFont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/>
    </xf>
    <xf numFmtId="0" fontId="9" fillId="2" borderId="4" xfId="1" applyFont="1" applyBorder="1" applyAlignment="1">
      <alignment horizontal="center" vertical="center"/>
    </xf>
    <xf numFmtId="0" fontId="9" fillId="2" borderId="3" xfId="1" applyFont="1" applyBorder="1" applyAlignment="1">
      <alignment horizontal="center" vertical="center"/>
    </xf>
    <xf numFmtId="0" fontId="1" fillId="2" borderId="0" xfId="1"/>
    <xf numFmtId="0" fontId="13" fillId="0" borderId="4" xfId="0" applyFont="1" applyBorder="1"/>
    <xf numFmtId="0" fontId="14" fillId="2" borderId="4" xfId="1" applyFont="1" applyBorder="1" applyAlignment="1">
      <alignment horizontal="center"/>
    </xf>
  </cellXfs>
  <cellStyles count="25">
    <cellStyle name="Normal" xfId="0" builtinId="0"/>
    <cellStyle name="Normal 10" xfId="2"/>
    <cellStyle name="Normal 10 2" xfId="3"/>
    <cellStyle name="Normal 11" xfId="4"/>
    <cellStyle name="Normal 12" xfId="5"/>
    <cellStyle name="Normal 14" xfId="6"/>
    <cellStyle name="Normal 15" xfId="7"/>
    <cellStyle name="Normal 16" xfId="8"/>
    <cellStyle name="Normal 2" xfId="1"/>
    <cellStyle name="Normal 2 2" xfId="9"/>
    <cellStyle name="Normal 3" xfId="10"/>
    <cellStyle name="Normal 4" xfId="11"/>
    <cellStyle name="Normal 4 2" xfId="12"/>
    <cellStyle name="Normal 4 2 2" xfId="13"/>
    <cellStyle name="Normal 4 2 2 2" xfId="14"/>
    <cellStyle name="Normal 4 2 3" xfId="15"/>
    <cellStyle name="Normal 4 3" xfId="16"/>
    <cellStyle name="Normal 4 3 2" xfId="17"/>
    <cellStyle name="Normal 4 4" xfId="18"/>
    <cellStyle name="Normal 5" xfId="19"/>
    <cellStyle name="Normal 6" xfId="20"/>
    <cellStyle name="Normal 6 2" xfId="21"/>
    <cellStyle name="Normal 7" xfId="22"/>
    <cellStyle name="Normal 8" xfId="23"/>
    <cellStyle name="Normal 9" xfId="24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70230"/>
  <sheetViews>
    <sheetView workbookViewId="0">
      <selection activeCell="B3" sqref="B3:B50"/>
    </sheetView>
  </sheetViews>
  <sheetFormatPr defaultRowHeight="15"/>
  <cols>
    <col min="1" max="2" width="18.42578125" style="9" customWidth="1"/>
    <col min="3" max="16384" width="9.140625" style="9"/>
  </cols>
  <sheetData>
    <row r="1" spans="1:14" ht="27">
      <c r="A1" s="6" t="s">
        <v>205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</row>
    <row r="2" spans="1:14">
      <c r="A2" s="10" t="s">
        <v>206</v>
      </c>
      <c r="B2" s="10"/>
      <c r="C2" s="11" t="s">
        <v>207</v>
      </c>
      <c r="D2" s="12" t="s">
        <v>208</v>
      </c>
      <c r="E2" s="13" t="s">
        <v>209</v>
      </c>
      <c r="F2" s="13" t="s">
        <v>210</v>
      </c>
      <c r="G2" s="13" t="s">
        <v>211</v>
      </c>
      <c r="H2" s="13" t="s">
        <v>13</v>
      </c>
      <c r="I2" s="13" t="s">
        <v>212</v>
      </c>
      <c r="J2" s="13" t="s">
        <v>213</v>
      </c>
      <c r="K2" s="10" t="s">
        <v>214</v>
      </c>
      <c r="L2" s="13" t="s">
        <v>215</v>
      </c>
      <c r="M2" s="13" t="s">
        <v>22</v>
      </c>
      <c r="N2" s="13" t="s">
        <v>216</v>
      </c>
    </row>
    <row r="3" spans="1:14">
      <c r="A3" s="14">
        <v>3493537347</v>
      </c>
      <c r="B3" s="14" t="str">
        <f>CONCATENATE(A3,",")</f>
        <v>3493537347,</v>
      </c>
      <c r="C3" s="15">
        <v>46000</v>
      </c>
      <c r="D3" s="14">
        <v>1</v>
      </c>
      <c r="E3" s="16" t="s">
        <v>217</v>
      </c>
      <c r="F3" s="14" t="s">
        <v>218</v>
      </c>
      <c r="G3" s="14" t="s">
        <v>120</v>
      </c>
      <c r="H3" s="14" t="s">
        <v>121</v>
      </c>
      <c r="I3" s="14" t="s">
        <v>219</v>
      </c>
      <c r="J3" s="14">
        <v>700</v>
      </c>
      <c r="K3" s="17">
        <v>50</v>
      </c>
      <c r="L3" s="18">
        <v>650</v>
      </c>
      <c r="M3" s="19" t="s">
        <v>220</v>
      </c>
      <c r="N3" s="14" t="s">
        <v>221</v>
      </c>
    </row>
    <row r="4" spans="1:14">
      <c r="A4" s="14">
        <v>3493388347</v>
      </c>
      <c r="B4" s="14" t="str">
        <f t="shared" ref="B4:B42" si="0">CONCATENATE(A4,",")</f>
        <v>3493388347,</v>
      </c>
      <c r="C4" s="15">
        <v>45997</v>
      </c>
      <c r="D4" s="14">
        <v>1</v>
      </c>
      <c r="E4" s="16" t="s">
        <v>217</v>
      </c>
      <c r="F4" s="14" t="s">
        <v>218</v>
      </c>
      <c r="G4" s="14" t="s">
        <v>55</v>
      </c>
      <c r="H4" s="14" t="s">
        <v>61</v>
      </c>
      <c r="I4" s="14" t="s">
        <v>222</v>
      </c>
      <c r="J4" s="14">
        <v>650</v>
      </c>
      <c r="K4" s="17">
        <v>50</v>
      </c>
      <c r="L4" s="18">
        <v>600</v>
      </c>
      <c r="M4" s="19" t="s">
        <v>220</v>
      </c>
      <c r="N4" s="14" t="s">
        <v>221</v>
      </c>
    </row>
    <row r="5" spans="1:14">
      <c r="A5" s="14">
        <v>3433675645</v>
      </c>
      <c r="B5" s="14" t="str">
        <f t="shared" si="0"/>
        <v>3433675645,</v>
      </c>
      <c r="C5" s="15">
        <v>46002</v>
      </c>
      <c r="D5" s="14">
        <v>1</v>
      </c>
      <c r="E5" s="16" t="s">
        <v>217</v>
      </c>
      <c r="F5" s="14" t="s">
        <v>218</v>
      </c>
      <c r="G5" s="14" t="s">
        <v>104</v>
      </c>
      <c r="H5" s="14" t="s">
        <v>106</v>
      </c>
      <c r="I5" s="14" t="s">
        <v>222</v>
      </c>
      <c r="J5" s="14">
        <v>850</v>
      </c>
      <c r="K5" s="17">
        <v>50</v>
      </c>
      <c r="L5" s="18">
        <v>800</v>
      </c>
      <c r="M5" s="19" t="s">
        <v>220</v>
      </c>
      <c r="N5" s="14" t="s">
        <v>221</v>
      </c>
    </row>
    <row r="6" spans="1:14">
      <c r="A6" s="14">
        <v>3457699348</v>
      </c>
      <c r="B6" s="14" t="str">
        <f t="shared" si="0"/>
        <v>3457699348,</v>
      </c>
      <c r="C6" s="15">
        <v>46004</v>
      </c>
      <c r="D6" s="14">
        <v>1</v>
      </c>
      <c r="E6" s="16" t="s">
        <v>217</v>
      </c>
      <c r="F6" s="14" t="s">
        <v>218</v>
      </c>
      <c r="G6" s="14" t="s">
        <v>177</v>
      </c>
      <c r="H6" s="14" t="s">
        <v>179</v>
      </c>
      <c r="I6" s="14" t="s">
        <v>222</v>
      </c>
      <c r="J6" s="14">
        <v>700</v>
      </c>
      <c r="K6" s="17">
        <v>50</v>
      </c>
      <c r="L6" s="18">
        <v>650</v>
      </c>
      <c r="M6" s="19" t="s">
        <v>220</v>
      </c>
      <c r="N6" s="14" t="s">
        <v>221</v>
      </c>
    </row>
    <row r="7" spans="1:14">
      <c r="A7" s="14">
        <v>3493665347</v>
      </c>
      <c r="B7" s="14" t="str">
        <f t="shared" si="0"/>
        <v>3493665347,</v>
      </c>
      <c r="C7" s="15">
        <v>46004</v>
      </c>
      <c r="D7" s="14">
        <v>1</v>
      </c>
      <c r="E7" s="16" t="s">
        <v>217</v>
      </c>
      <c r="F7" s="14" t="s">
        <v>218</v>
      </c>
      <c r="G7" s="14" t="s">
        <v>183</v>
      </c>
      <c r="H7" s="14" t="s">
        <v>223</v>
      </c>
      <c r="I7" s="14" t="s">
        <v>222</v>
      </c>
      <c r="J7" s="14">
        <v>650</v>
      </c>
      <c r="K7" s="17">
        <v>50</v>
      </c>
      <c r="L7" s="18">
        <v>600</v>
      </c>
      <c r="M7" s="19" t="s">
        <v>220</v>
      </c>
      <c r="N7" s="14" t="s">
        <v>221</v>
      </c>
    </row>
    <row r="8" spans="1:14">
      <c r="A8" s="14">
        <v>5475957348</v>
      </c>
      <c r="B8" s="14" t="str">
        <f t="shared" si="0"/>
        <v>5475957348,</v>
      </c>
      <c r="C8" s="15">
        <v>46002</v>
      </c>
      <c r="D8" s="14">
        <v>1</v>
      </c>
      <c r="E8" s="16" t="s">
        <v>217</v>
      </c>
      <c r="F8" s="14" t="s">
        <v>218</v>
      </c>
      <c r="G8" s="14" t="s">
        <v>146</v>
      </c>
      <c r="H8" s="14" t="s">
        <v>148</v>
      </c>
      <c r="I8" s="14" t="s">
        <v>224</v>
      </c>
      <c r="J8" s="14">
        <v>460</v>
      </c>
      <c r="K8" s="17">
        <v>50</v>
      </c>
      <c r="L8" s="18">
        <v>410</v>
      </c>
      <c r="M8" s="19" t="s">
        <v>220</v>
      </c>
      <c r="N8" s="14" t="s">
        <v>221</v>
      </c>
    </row>
    <row r="9" spans="1:14">
      <c r="A9" s="14">
        <v>3493637647</v>
      </c>
      <c r="B9" s="14" t="str">
        <f t="shared" si="0"/>
        <v>3493637647,</v>
      </c>
      <c r="C9" s="15">
        <v>46004</v>
      </c>
      <c r="D9" s="14">
        <v>1</v>
      </c>
      <c r="E9" s="16" t="s">
        <v>217</v>
      </c>
      <c r="F9" s="14" t="s">
        <v>225</v>
      </c>
      <c r="G9" s="14" t="s">
        <v>171</v>
      </c>
      <c r="H9" s="14" t="s">
        <v>174</v>
      </c>
      <c r="I9" s="14" t="s">
        <v>226</v>
      </c>
      <c r="J9" s="14">
        <v>270</v>
      </c>
      <c r="K9" s="17">
        <v>63</v>
      </c>
      <c r="L9" s="18">
        <v>207</v>
      </c>
      <c r="M9" s="19" t="s">
        <v>220</v>
      </c>
      <c r="N9" s="14" t="s">
        <v>221</v>
      </c>
    </row>
    <row r="10" spans="1:14">
      <c r="A10" s="14">
        <v>3493588647</v>
      </c>
      <c r="B10" s="14" t="str">
        <f t="shared" si="0"/>
        <v>3493588647,</v>
      </c>
      <c r="C10" s="15">
        <v>45999</v>
      </c>
      <c r="D10" s="14">
        <v>1</v>
      </c>
      <c r="E10" s="16" t="s">
        <v>217</v>
      </c>
      <c r="F10" s="14" t="s">
        <v>225</v>
      </c>
      <c r="G10" s="14" t="s">
        <v>90</v>
      </c>
      <c r="H10" s="14" t="s">
        <v>91</v>
      </c>
      <c r="I10" s="14" t="s">
        <v>72</v>
      </c>
      <c r="J10" s="14">
        <v>470</v>
      </c>
      <c r="K10" s="17">
        <v>63</v>
      </c>
      <c r="L10" s="18">
        <v>407</v>
      </c>
      <c r="M10" s="19" t="s">
        <v>220</v>
      </c>
      <c r="N10" s="14" t="s">
        <v>221</v>
      </c>
    </row>
    <row r="11" spans="1:14">
      <c r="A11" s="14">
        <v>8467779845</v>
      </c>
      <c r="B11" s="14" t="str">
        <f t="shared" si="0"/>
        <v>8467779845,</v>
      </c>
      <c r="C11" s="15">
        <v>45999</v>
      </c>
      <c r="D11" s="14">
        <v>1</v>
      </c>
      <c r="E11" s="16" t="s">
        <v>217</v>
      </c>
      <c r="F11" s="14" t="s">
        <v>225</v>
      </c>
      <c r="G11" s="14" t="s">
        <v>71</v>
      </c>
      <c r="H11" s="14" t="s">
        <v>74</v>
      </c>
      <c r="I11" s="14" t="s">
        <v>72</v>
      </c>
      <c r="J11" s="14">
        <v>970</v>
      </c>
      <c r="K11" s="17">
        <v>63</v>
      </c>
      <c r="L11" s="18">
        <v>907</v>
      </c>
      <c r="M11" s="19" t="s">
        <v>220</v>
      </c>
      <c r="N11" s="14" t="s">
        <v>221</v>
      </c>
    </row>
    <row r="12" spans="1:14" hidden="1">
      <c r="A12" s="14">
        <v>3433839945</v>
      </c>
      <c r="B12" s="14" t="str">
        <f t="shared" si="0"/>
        <v>3433839945,</v>
      </c>
      <c r="C12" s="15">
        <v>45993</v>
      </c>
      <c r="D12" s="14"/>
      <c r="E12" s="16" t="s">
        <v>217</v>
      </c>
      <c r="F12" s="14" t="s">
        <v>218</v>
      </c>
      <c r="G12" s="14" t="s">
        <v>227</v>
      </c>
      <c r="H12" s="14" t="s">
        <v>228</v>
      </c>
      <c r="I12" s="14" t="s">
        <v>224</v>
      </c>
      <c r="J12" s="14">
        <v>0</v>
      </c>
      <c r="K12" s="14">
        <v>0</v>
      </c>
      <c r="L12" s="18">
        <v>0</v>
      </c>
      <c r="M12" s="19" t="s">
        <v>229</v>
      </c>
      <c r="N12" s="14" t="s">
        <v>230</v>
      </c>
    </row>
    <row r="13" spans="1:14" hidden="1">
      <c r="A13" s="14">
        <v>7488378945</v>
      </c>
      <c r="B13" s="14" t="str">
        <f t="shared" si="0"/>
        <v>7488378945,</v>
      </c>
      <c r="C13" s="15">
        <v>46001</v>
      </c>
      <c r="D13" s="14"/>
      <c r="E13" s="16" t="s">
        <v>217</v>
      </c>
      <c r="F13" s="14" t="s">
        <v>218</v>
      </c>
      <c r="G13" s="14" t="s">
        <v>231</v>
      </c>
      <c r="H13" s="14" t="s">
        <v>232</v>
      </c>
      <c r="I13" s="14" t="s">
        <v>224</v>
      </c>
      <c r="J13" s="14">
        <v>0</v>
      </c>
      <c r="K13" s="14">
        <v>0</v>
      </c>
      <c r="L13" s="18">
        <v>0</v>
      </c>
      <c r="M13" s="19" t="s">
        <v>229</v>
      </c>
      <c r="N13" s="14" t="s">
        <v>230</v>
      </c>
    </row>
    <row r="14" spans="1:14" hidden="1">
      <c r="A14" s="14">
        <v>3457973848</v>
      </c>
      <c r="B14" s="14" t="str">
        <f t="shared" si="0"/>
        <v>3457973848,</v>
      </c>
      <c r="C14" s="15">
        <v>46002</v>
      </c>
      <c r="D14" s="14"/>
      <c r="E14" s="16" t="s">
        <v>217</v>
      </c>
      <c r="F14" s="14" t="s">
        <v>218</v>
      </c>
      <c r="G14" s="14" t="s">
        <v>233</v>
      </c>
      <c r="H14" s="14" t="s">
        <v>234</v>
      </c>
      <c r="I14" s="14" t="s">
        <v>224</v>
      </c>
      <c r="J14" s="14">
        <v>0</v>
      </c>
      <c r="K14" s="14">
        <v>0</v>
      </c>
      <c r="L14" s="18">
        <v>0</v>
      </c>
      <c r="M14" s="19" t="s">
        <v>229</v>
      </c>
      <c r="N14" s="14" t="s">
        <v>230</v>
      </c>
    </row>
    <row r="15" spans="1:14" hidden="1">
      <c r="A15" s="14">
        <v>3457958348</v>
      </c>
      <c r="B15" s="14" t="str">
        <f t="shared" si="0"/>
        <v>3457958348,</v>
      </c>
      <c r="C15" s="15">
        <v>45999</v>
      </c>
      <c r="D15" s="14"/>
      <c r="E15" s="16" t="s">
        <v>217</v>
      </c>
      <c r="F15" s="14" t="s">
        <v>218</v>
      </c>
      <c r="G15" s="14" t="s">
        <v>235</v>
      </c>
      <c r="H15" s="14" t="s">
        <v>236</v>
      </c>
      <c r="I15" s="14" t="s">
        <v>237</v>
      </c>
      <c r="J15" s="14">
        <v>0</v>
      </c>
      <c r="K15" s="14">
        <v>0</v>
      </c>
      <c r="L15" s="18">
        <v>0</v>
      </c>
      <c r="M15" s="19" t="s">
        <v>229</v>
      </c>
      <c r="N15" s="14" t="s">
        <v>230</v>
      </c>
    </row>
    <row r="16" spans="1:14" hidden="1">
      <c r="A16" s="14">
        <v>7486963645</v>
      </c>
      <c r="B16" s="14" t="str">
        <f t="shared" si="0"/>
        <v>7486963645,</v>
      </c>
      <c r="C16" s="15">
        <v>45991</v>
      </c>
      <c r="D16" s="14"/>
      <c r="E16" s="16" t="s">
        <v>217</v>
      </c>
      <c r="F16" s="14" t="s">
        <v>218</v>
      </c>
      <c r="G16" s="14" t="s">
        <v>238</v>
      </c>
      <c r="H16" s="14" t="s">
        <v>239</v>
      </c>
      <c r="I16" s="14" t="s">
        <v>237</v>
      </c>
      <c r="J16" s="14">
        <v>0</v>
      </c>
      <c r="K16" s="14">
        <v>0</v>
      </c>
      <c r="L16" s="18">
        <v>0</v>
      </c>
      <c r="M16" s="19" t="s">
        <v>229</v>
      </c>
      <c r="N16" s="14" t="s">
        <v>240</v>
      </c>
    </row>
    <row r="17" spans="1:14" hidden="1">
      <c r="A17" s="14">
        <v>3457993848</v>
      </c>
      <c r="B17" s="14" t="str">
        <f t="shared" si="0"/>
        <v>3457993848,</v>
      </c>
      <c r="C17" s="15">
        <v>46000</v>
      </c>
      <c r="D17" s="14"/>
      <c r="E17" s="16" t="s">
        <v>217</v>
      </c>
      <c r="F17" s="14" t="s">
        <v>218</v>
      </c>
      <c r="G17" s="14" t="s">
        <v>241</v>
      </c>
      <c r="H17" s="14" t="s">
        <v>242</v>
      </c>
      <c r="I17" s="14" t="s">
        <v>59</v>
      </c>
      <c r="J17" s="14">
        <v>0</v>
      </c>
      <c r="K17" s="14">
        <v>0</v>
      </c>
      <c r="L17" s="18">
        <v>0</v>
      </c>
      <c r="M17" s="19" t="s">
        <v>229</v>
      </c>
      <c r="N17" s="14" t="s">
        <v>243</v>
      </c>
    </row>
    <row r="18" spans="1:14" hidden="1">
      <c r="A18" s="14">
        <v>3493377647</v>
      </c>
      <c r="B18" s="14" t="str">
        <f t="shared" si="0"/>
        <v>3493377647,</v>
      </c>
      <c r="C18" s="15">
        <v>45999</v>
      </c>
      <c r="D18" s="14"/>
      <c r="E18" s="16" t="s">
        <v>217</v>
      </c>
      <c r="F18" s="14" t="s">
        <v>218</v>
      </c>
      <c r="G18" s="14" t="s">
        <v>244</v>
      </c>
      <c r="H18" s="14" t="s">
        <v>245</v>
      </c>
      <c r="I18" s="14" t="s">
        <v>59</v>
      </c>
      <c r="J18" s="14">
        <v>0</v>
      </c>
      <c r="K18" s="14">
        <v>0</v>
      </c>
      <c r="L18" s="18">
        <v>0</v>
      </c>
      <c r="M18" s="19" t="s">
        <v>229</v>
      </c>
      <c r="N18" s="14" t="s">
        <v>230</v>
      </c>
    </row>
    <row r="19" spans="1:14" hidden="1">
      <c r="A19" s="14">
        <v>3433379645</v>
      </c>
      <c r="B19" s="14" t="str">
        <f t="shared" si="0"/>
        <v>3433379645,</v>
      </c>
      <c r="C19" s="15">
        <v>45999</v>
      </c>
      <c r="D19" s="14"/>
      <c r="E19" s="16" t="s">
        <v>217</v>
      </c>
      <c r="F19" s="14" t="s">
        <v>218</v>
      </c>
      <c r="G19" s="14" t="s">
        <v>246</v>
      </c>
      <c r="H19" s="14" t="s">
        <v>247</v>
      </c>
      <c r="I19" s="14" t="s">
        <v>59</v>
      </c>
      <c r="J19" s="14">
        <v>0</v>
      </c>
      <c r="K19" s="14">
        <v>0</v>
      </c>
      <c r="L19" s="18">
        <v>0</v>
      </c>
      <c r="M19" s="19" t="s">
        <v>229</v>
      </c>
      <c r="N19" s="14" t="s">
        <v>230</v>
      </c>
    </row>
    <row r="20" spans="1:14" hidden="1">
      <c r="A20" s="14">
        <v>3433875945</v>
      </c>
      <c r="B20" s="14" t="str">
        <f t="shared" si="0"/>
        <v>3433875945,</v>
      </c>
      <c r="C20" s="15">
        <v>45993</v>
      </c>
      <c r="D20" s="14"/>
      <c r="E20" s="16" t="s">
        <v>217</v>
      </c>
      <c r="F20" s="14" t="s">
        <v>218</v>
      </c>
      <c r="G20" s="14" t="s">
        <v>248</v>
      </c>
      <c r="H20" s="14" t="s">
        <v>249</v>
      </c>
      <c r="I20" s="14" t="s">
        <v>59</v>
      </c>
      <c r="J20" s="14">
        <v>0</v>
      </c>
      <c r="K20" s="14">
        <v>0</v>
      </c>
      <c r="L20" s="18">
        <v>0</v>
      </c>
      <c r="M20" s="19" t="s">
        <v>229</v>
      </c>
      <c r="N20" s="14" t="s">
        <v>250</v>
      </c>
    </row>
    <row r="21" spans="1:14" hidden="1">
      <c r="A21" s="14">
        <v>7488853945</v>
      </c>
      <c r="B21" s="14" t="str">
        <f t="shared" si="0"/>
        <v>7488853945,</v>
      </c>
      <c r="C21" s="15">
        <v>45999</v>
      </c>
      <c r="D21" s="14"/>
      <c r="E21" s="16" t="s">
        <v>217</v>
      </c>
      <c r="F21" s="14" t="s">
        <v>218</v>
      </c>
      <c r="G21" s="14" t="s">
        <v>251</v>
      </c>
      <c r="H21" s="14" t="s">
        <v>252</v>
      </c>
      <c r="I21" s="14" t="s">
        <v>59</v>
      </c>
      <c r="J21" s="14">
        <v>0</v>
      </c>
      <c r="K21" s="14">
        <v>0</v>
      </c>
      <c r="L21" s="18">
        <v>0</v>
      </c>
      <c r="M21" s="19" t="s">
        <v>229</v>
      </c>
      <c r="N21" s="14" t="s">
        <v>230</v>
      </c>
    </row>
    <row r="22" spans="1:14" hidden="1">
      <c r="A22" s="14">
        <v>3433656745</v>
      </c>
      <c r="B22" s="14" t="str">
        <f t="shared" si="0"/>
        <v>3433656745,</v>
      </c>
      <c r="C22" s="15">
        <v>46000</v>
      </c>
      <c r="D22" s="14"/>
      <c r="E22" s="16" t="s">
        <v>217</v>
      </c>
      <c r="F22" s="14" t="s">
        <v>218</v>
      </c>
      <c r="G22" s="14" t="s">
        <v>253</v>
      </c>
      <c r="H22" s="14" t="s">
        <v>254</v>
      </c>
      <c r="I22" s="14" t="s">
        <v>219</v>
      </c>
      <c r="J22" s="14">
        <v>0</v>
      </c>
      <c r="K22" s="14">
        <v>0</v>
      </c>
      <c r="L22" s="18">
        <v>0</v>
      </c>
      <c r="M22" s="19" t="s">
        <v>229</v>
      </c>
      <c r="N22" s="14" t="s">
        <v>240</v>
      </c>
    </row>
    <row r="23" spans="1:14" hidden="1">
      <c r="A23" s="14">
        <v>7486999945</v>
      </c>
      <c r="B23" s="14" t="str">
        <f t="shared" si="0"/>
        <v>7486999945,</v>
      </c>
      <c r="C23" s="15">
        <v>45993</v>
      </c>
      <c r="D23" s="14"/>
      <c r="E23" s="16" t="s">
        <v>217</v>
      </c>
      <c r="F23" s="14" t="s">
        <v>218</v>
      </c>
      <c r="G23" s="14" t="s">
        <v>255</v>
      </c>
      <c r="H23" s="14" t="s">
        <v>256</v>
      </c>
      <c r="I23" s="14" t="s">
        <v>219</v>
      </c>
      <c r="J23" s="14">
        <v>0</v>
      </c>
      <c r="K23" s="14">
        <v>0</v>
      </c>
      <c r="L23" s="18">
        <v>0</v>
      </c>
      <c r="M23" s="19" t="s">
        <v>229</v>
      </c>
      <c r="N23" s="14" t="s">
        <v>230</v>
      </c>
    </row>
    <row r="24" spans="1:14" hidden="1">
      <c r="A24" s="14">
        <v>3433685945</v>
      </c>
      <c r="B24" s="14" t="str">
        <f t="shared" si="0"/>
        <v>3433685945,</v>
      </c>
      <c r="C24" s="15">
        <v>45999</v>
      </c>
      <c r="D24" s="14"/>
      <c r="E24" s="16" t="s">
        <v>217</v>
      </c>
      <c r="F24" s="14" t="s">
        <v>257</v>
      </c>
      <c r="G24" s="14" t="s">
        <v>258</v>
      </c>
      <c r="H24" s="14" t="s">
        <v>259</v>
      </c>
      <c r="I24" s="14" t="s">
        <v>260</v>
      </c>
      <c r="J24" s="14">
        <v>0</v>
      </c>
      <c r="K24" s="14">
        <v>0</v>
      </c>
      <c r="L24" s="18">
        <v>0</v>
      </c>
      <c r="M24" s="19" t="s">
        <v>229</v>
      </c>
      <c r="N24" s="14" t="s">
        <v>230</v>
      </c>
    </row>
    <row r="25" spans="1:14" hidden="1">
      <c r="A25" s="14">
        <v>5475836348</v>
      </c>
      <c r="B25" s="14" t="str">
        <f t="shared" si="0"/>
        <v>5475836348,</v>
      </c>
      <c r="C25" s="15">
        <v>46000</v>
      </c>
      <c r="D25" s="14"/>
      <c r="E25" s="16" t="s">
        <v>217</v>
      </c>
      <c r="F25" s="14" t="s">
        <v>257</v>
      </c>
      <c r="G25" s="14" t="s">
        <v>261</v>
      </c>
      <c r="H25" s="14" t="s">
        <v>262</v>
      </c>
      <c r="I25" s="14" t="s">
        <v>260</v>
      </c>
      <c r="J25" s="14">
        <v>0</v>
      </c>
      <c r="K25" s="14">
        <v>0</v>
      </c>
      <c r="L25" s="18">
        <v>0</v>
      </c>
      <c r="M25" s="19" t="s">
        <v>229</v>
      </c>
      <c r="N25" s="14" t="s">
        <v>263</v>
      </c>
    </row>
    <row r="26" spans="1:14" hidden="1">
      <c r="A26" s="14">
        <v>3457389848</v>
      </c>
      <c r="B26" s="14" t="str">
        <f t="shared" si="0"/>
        <v>3457389848,</v>
      </c>
      <c r="C26" s="15">
        <v>45997</v>
      </c>
      <c r="D26" s="14"/>
      <c r="E26" s="16" t="s">
        <v>217</v>
      </c>
      <c r="F26" s="14" t="s">
        <v>257</v>
      </c>
      <c r="G26" s="14" t="s">
        <v>264</v>
      </c>
      <c r="H26" s="14" t="s">
        <v>265</v>
      </c>
      <c r="I26" s="14" t="s">
        <v>266</v>
      </c>
      <c r="J26" s="14">
        <v>0</v>
      </c>
      <c r="K26" s="14">
        <v>0</v>
      </c>
      <c r="L26" s="18">
        <v>0</v>
      </c>
      <c r="M26" s="19" t="s">
        <v>229</v>
      </c>
      <c r="N26" s="14" t="s">
        <v>250</v>
      </c>
    </row>
    <row r="27" spans="1:14">
      <c r="A27" s="14">
        <v>3493579847</v>
      </c>
      <c r="B27" s="14" t="str">
        <f t="shared" si="0"/>
        <v>3493579847,</v>
      </c>
      <c r="C27" s="15">
        <v>46001</v>
      </c>
      <c r="D27" s="14">
        <v>1</v>
      </c>
      <c r="E27" s="16" t="s">
        <v>217</v>
      </c>
      <c r="F27" s="14" t="s">
        <v>218</v>
      </c>
      <c r="G27" s="14" t="s">
        <v>140</v>
      </c>
      <c r="H27" s="14" t="s">
        <v>142</v>
      </c>
      <c r="I27" s="14" t="s">
        <v>237</v>
      </c>
      <c r="J27" s="14">
        <v>700</v>
      </c>
      <c r="K27" s="17">
        <v>50</v>
      </c>
      <c r="L27" s="18">
        <v>650</v>
      </c>
      <c r="M27" s="19" t="s">
        <v>220</v>
      </c>
      <c r="N27" s="14" t="s">
        <v>221</v>
      </c>
    </row>
    <row r="28" spans="1:14">
      <c r="A28" s="14">
        <v>3493633647</v>
      </c>
      <c r="B28" s="14" t="str">
        <f t="shared" si="0"/>
        <v>3493633647,</v>
      </c>
      <c r="C28" s="15">
        <v>46002</v>
      </c>
      <c r="D28" s="14">
        <v>1</v>
      </c>
      <c r="E28" s="16" t="s">
        <v>217</v>
      </c>
      <c r="F28" s="14" t="s">
        <v>218</v>
      </c>
      <c r="G28" s="14" t="s">
        <v>151</v>
      </c>
      <c r="H28" s="14" t="s">
        <v>154</v>
      </c>
      <c r="I28" s="14" t="s">
        <v>237</v>
      </c>
      <c r="J28" s="14">
        <v>50</v>
      </c>
      <c r="K28" s="17">
        <v>50</v>
      </c>
      <c r="L28" s="18">
        <v>0</v>
      </c>
      <c r="M28" s="19" t="s">
        <v>220</v>
      </c>
      <c r="N28" s="14" t="s">
        <v>221</v>
      </c>
    </row>
    <row r="29" spans="1:14" hidden="1">
      <c r="A29" s="14">
        <v>8467633845</v>
      </c>
      <c r="B29" s="14" t="str">
        <f t="shared" si="0"/>
        <v>8467633845,</v>
      </c>
      <c r="C29" s="15">
        <v>46001</v>
      </c>
      <c r="D29" s="14"/>
      <c r="E29" s="16" t="s">
        <v>217</v>
      </c>
      <c r="F29" s="14" t="s">
        <v>218</v>
      </c>
      <c r="G29" s="14" t="s">
        <v>267</v>
      </c>
      <c r="H29" s="14" t="s">
        <v>268</v>
      </c>
      <c r="I29" s="14" t="s">
        <v>224</v>
      </c>
      <c r="J29" s="14">
        <v>0</v>
      </c>
      <c r="K29" s="14">
        <v>0</v>
      </c>
      <c r="L29" s="18">
        <v>0</v>
      </c>
      <c r="M29" s="19" t="s">
        <v>229</v>
      </c>
      <c r="N29" s="14" t="s">
        <v>230</v>
      </c>
    </row>
    <row r="30" spans="1:14" hidden="1">
      <c r="A30" s="14">
        <v>5475889948</v>
      </c>
      <c r="B30" s="14" t="str">
        <f t="shared" si="0"/>
        <v>5475889948,</v>
      </c>
      <c r="C30" s="15">
        <v>46000</v>
      </c>
      <c r="D30" s="14"/>
      <c r="E30" s="16" t="s">
        <v>217</v>
      </c>
      <c r="F30" s="14" t="s">
        <v>218</v>
      </c>
      <c r="G30" s="14" t="s">
        <v>269</v>
      </c>
      <c r="H30" s="14" t="s">
        <v>270</v>
      </c>
      <c r="I30" s="14" t="s">
        <v>219</v>
      </c>
      <c r="J30" s="14">
        <v>0</v>
      </c>
      <c r="K30" s="14">
        <v>0</v>
      </c>
      <c r="L30" s="18">
        <v>0</v>
      </c>
      <c r="M30" s="19" t="s">
        <v>229</v>
      </c>
      <c r="N30" s="14" t="s">
        <v>230</v>
      </c>
    </row>
    <row r="31" spans="1:14" hidden="1">
      <c r="A31" s="14">
        <v>3457678348</v>
      </c>
      <c r="B31" s="14" t="str">
        <f t="shared" si="0"/>
        <v>3457678348,</v>
      </c>
      <c r="C31" s="15">
        <v>46004</v>
      </c>
      <c r="D31" s="14"/>
      <c r="E31" s="16" t="s">
        <v>217</v>
      </c>
      <c r="F31" s="14" t="s">
        <v>218</v>
      </c>
      <c r="G31" s="14" t="s">
        <v>271</v>
      </c>
      <c r="H31" s="14" t="s">
        <v>272</v>
      </c>
      <c r="I31" s="14" t="s">
        <v>59</v>
      </c>
      <c r="J31" s="14">
        <v>0</v>
      </c>
      <c r="K31" s="14">
        <v>0</v>
      </c>
      <c r="L31" s="18">
        <v>0</v>
      </c>
      <c r="M31" s="19" t="s">
        <v>229</v>
      </c>
      <c r="N31" s="14" t="s">
        <v>230</v>
      </c>
    </row>
    <row r="32" spans="1:14" hidden="1">
      <c r="A32" s="14">
        <v>3457789348</v>
      </c>
      <c r="B32" s="14" t="str">
        <f t="shared" si="0"/>
        <v>3457789348,</v>
      </c>
      <c r="C32" s="15">
        <v>45999</v>
      </c>
      <c r="D32" s="14"/>
      <c r="E32" s="16" t="s">
        <v>217</v>
      </c>
      <c r="F32" s="14" t="s">
        <v>218</v>
      </c>
      <c r="G32" s="14" t="s">
        <v>273</v>
      </c>
      <c r="H32" s="14" t="s">
        <v>274</v>
      </c>
      <c r="I32" s="14" t="s">
        <v>59</v>
      </c>
      <c r="J32" s="14">
        <v>0</v>
      </c>
      <c r="K32" s="14">
        <v>0</v>
      </c>
      <c r="L32" s="18">
        <v>0</v>
      </c>
      <c r="M32" s="19" t="s">
        <v>229</v>
      </c>
      <c r="N32" s="14" t="s">
        <v>230</v>
      </c>
    </row>
    <row r="33" spans="1:14" hidden="1">
      <c r="A33" s="14">
        <v>3493686847</v>
      </c>
      <c r="B33" s="14" t="str">
        <f t="shared" si="0"/>
        <v>3493686847,</v>
      </c>
      <c r="C33" s="15">
        <v>46002</v>
      </c>
      <c r="D33" s="14"/>
      <c r="E33" s="16" t="s">
        <v>217</v>
      </c>
      <c r="F33" s="14" t="s">
        <v>218</v>
      </c>
      <c r="G33" s="14" t="s">
        <v>275</v>
      </c>
      <c r="H33" s="14" t="s">
        <v>276</v>
      </c>
      <c r="I33" s="14" t="s">
        <v>59</v>
      </c>
      <c r="J33" s="14">
        <v>0</v>
      </c>
      <c r="K33" s="14">
        <v>0</v>
      </c>
      <c r="L33" s="18">
        <v>0</v>
      </c>
      <c r="M33" s="19" t="s">
        <v>229</v>
      </c>
      <c r="N33" s="14" t="s">
        <v>230</v>
      </c>
    </row>
    <row r="34" spans="1:14" hidden="1">
      <c r="A34" s="14">
        <v>7488655545</v>
      </c>
      <c r="B34" s="14" t="str">
        <f t="shared" si="0"/>
        <v>7488655545,</v>
      </c>
      <c r="C34" s="15">
        <v>45995</v>
      </c>
      <c r="D34" s="14"/>
      <c r="E34" s="16" t="s">
        <v>217</v>
      </c>
      <c r="F34" s="14" t="s">
        <v>218</v>
      </c>
      <c r="G34" s="14" t="s">
        <v>277</v>
      </c>
      <c r="H34" s="14" t="s">
        <v>278</v>
      </c>
      <c r="I34" s="14" t="s">
        <v>59</v>
      </c>
      <c r="J34" s="14">
        <v>0</v>
      </c>
      <c r="K34" s="14">
        <v>0</v>
      </c>
      <c r="L34" s="18">
        <v>0</v>
      </c>
      <c r="M34" s="19" t="s">
        <v>229</v>
      </c>
      <c r="N34" s="14" t="s">
        <v>240</v>
      </c>
    </row>
    <row r="35" spans="1:14" hidden="1">
      <c r="A35" s="14">
        <v>3457393348</v>
      </c>
      <c r="B35" s="14" t="str">
        <f t="shared" si="0"/>
        <v>3457393348,</v>
      </c>
      <c r="C35" s="15">
        <v>45997</v>
      </c>
      <c r="D35" s="14"/>
      <c r="E35" s="16" t="s">
        <v>217</v>
      </c>
      <c r="F35" s="14" t="s">
        <v>225</v>
      </c>
      <c r="G35" s="14" t="s">
        <v>279</v>
      </c>
      <c r="H35" s="14" t="s">
        <v>280</v>
      </c>
      <c r="I35" s="14" t="s">
        <v>72</v>
      </c>
      <c r="J35" s="14">
        <v>0</v>
      </c>
      <c r="K35" s="14">
        <v>0</v>
      </c>
      <c r="L35" s="18">
        <v>0</v>
      </c>
      <c r="M35" s="19" t="s">
        <v>229</v>
      </c>
      <c r="N35" s="14" t="s">
        <v>230</v>
      </c>
    </row>
    <row r="36" spans="1:14">
      <c r="A36" s="14">
        <v>3493369847</v>
      </c>
      <c r="B36" s="14" t="str">
        <f t="shared" si="0"/>
        <v>3493369847,</v>
      </c>
      <c r="C36" s="15">
        <v>45999</v>
      </c>
      <c r="D36" s="14">
        <v>1</v>
      </c>
      <c r="E36" s="16" t="s">
        <v>217</v>
      </c>
      <c r="F36" s="14" t="s">
        <v>218</v>
      </c>
      <c r="G36" s="14" t="s">
        <v>83</v>
      </c>
      <c r="H36" s="14" t="s">
        <v>85</v>
      </c>
      <c r="I36" s="14" t="s">
        <v>219</v>
      </c>
      <c r="J36" s="14">
        <v>700</v>
      </c>
      <c r="K36" s="17">
        <v>50</v>
      </c>
      <c r="L36" s="18">
        <v>650</v>
      </c>
      <c r="M36" s="19" t="s">
        <v>220</v>
      </c>
      <c r="N36" s="14" t="s">
        <v>221</v>
      </c>
    </row>
    <row r="37" spans="1:14">
      <c r="A37" s="14">
        <v>3433665645</v>
      </c>
      <c r="B37" s="14" t="str">
        <f t="shared" si="0"/>
        <v>3433665645,</v>
      </c>
      <c r="C37" s="15">
        <v>46001</v>
      </c>
      <c r="D37" s="14">
        <v>1</v>
      </c>
      <c r="E37" s="16" t="s">
        <v>217</v>
      </c>
      <c r="F37" s="14" t="s">
        <v>218</v>
      </c>
      <c r="G37" s="14" t="s">
        <v>130</v>
      </c>
      <c r="H37" s="14" t="s">
        <v>132</v>
      </c>
      <c r="I37" s="14" t="s">
        <v>219</v>
      </c>
      <c r="J37" s="14">
        <v>700</v>
      </c>
      <c r="K37" s="17">
        <v>50</v>
      </c>
      <c r="L37" s="18">
        <v>650</v>
      </c>
      <c r="M37" s="19" t="s">
        <v>220</v>
      </c>
      <c r="N37" s="14" t="s">
        <v>221</v>
      </c>
    </row>
    <row r="38" spans="1:14">
      <c r="A38" s="14">
        <v>7488976645</v>
      </c>
      <c r="B38" s="14" t="str">
        <f t="shared" si="0"/>
        <v>7488976645,</v>
      </c>
      <c r="C38" s="15">
        <v>46004</v>
      </c>
      <c r="D38" s="14">
        <v>1</v>
      </c>
      <c r="E38" s="16" t="s">
        <v>217</v>
      </c>
      <c r="F38" s="14" t="s">
        <v>218</v>
      </c>
      <c r="G38" s="14" t="s">
        <v>199</v>
      </c>
      <c r="H38" s="14" t="s">
        <v>201</v>
      </c>
      <c r="I38" s="14" t="s">
        <v>219</v>
      </c>
      <c r="J38" s="14">
        <v>750</v>
      </c>
      <c r="K38" s="17">
        <v>50</v>
      </c>
      <c r="L38" s="18">
        <v>700</v>
      </c>
      <c r="M38" s="19" t="s">
        <v>220</v>
      </c>
      <c r="N38" s="14" t="s">
        <v>221</v>
      </c>
    </row>
    <row r="39" spans="1:14">
      <c r="A39" s="14">
        <v>5475956348</v>
      </c>
      <c r="B39" s="14" t="str">
        <f t="shared" si="0"/>
        <v>5475956348,</v>
      </c>
      <c r="C39" s="15">
        <v>46004</v>
      </c>
      <c r="D39" s="14">
        <v>1</v>
      </c>
      <c r="E39" s="16" t="s">
        <v>217</v>
      </c>
      <c r="F39" s="14" t="s">
        <v>257</v>
      </c>
      <c r="G39" s="14" t="s">
        <v>164</v>
      </c>
      <c r="H39" s="14" t="s">
        <v>168</v>
      </c>
      <c r="I39" s="14" t="s">
        <v>260</v>
      </c>
      <c r="J39" s="14">
        <v>0</v>
      </c>
      <c r="K39" s="17">
        <v>57</v>
      </c>
      <c r="L39" s="18">
        <v>-57</v>
      </c>
      <c r="M39" s="14" t="s">
        <v>220</v>
      </c>
      <c r="N39" s="14" t="s">
        <v>281</v>
      </c>
    </row>
    <row r="40" spans="1:14">
      <c r="A40" s="14">
        <v>7488383545</v>
      </c>
      <c r="B40" s="14" t="str">
        <f t="shared" si="0"/>
        <v>7488383545,</v>
      </c>
      <c r="C40" s="15">
        <v>46004</v>
      </c>
      <c r="D40" s="14">
        <v>1</v>
      </c>
      <c r="E40" s="16" t="s">
        <v>217</v>
      </c>
      <c r="F40" s="14" t="s">
        <v>218</v>
      </c>
      <c r="G40" s="14" t="s">
        <v>157</v>
      </c>
      <c r="H40" s="14" t="s">
        <v>159</v>
      </c>
      <c r="I40" s="14" t="s">
        <v>222</v>
      </c>
      <c r="J40" s="14">
        <v>450</v>
      </c>
      <c r="K40" s="17">
        <v>50</v>
      </c>
      <c r="L40" s="18">
        <v>400</v>
      </c>
      <c r="M40" s="14" t="s">
        <v>220</v>
      </c>
      <c r="N40" s="14" t="s">
        <v>221</v>
      </c>
    </row>
    <row r="41" spans="1:14" hidden="1">
      <c r="A41" s="14">
        <v>7488635545</v>
      </c>
      <c r="B41" s="14" t="str">
        <f t="shared" si="0"/>
        <v>7488635545,</v>
      </c>
      <c r="C41" s="15">
        <v>45997</v>
      </c>
      <c r="D41" s="14">
        <v>1</v>
      </c>
      <c r="E41" s="16" t="s">
        <v>217</v>
      </c>
      <c r="F41" s="14" t="s">
        <v>218</v>
      </c>
      <c r="G41" s="14" t="s">
        <v>282</v>
      </c>
      <c r="H41" s="14" t="s">
        <v>283</v>
      </c>
      <c r="I41" s="14" t="s">
        <v>224</v>
      </c>
      <c r="J41" s="14">
        <v>30</v>
      </c>
      <c r="K41" s="14">
        <v>30</v>
      </c>
      <c r="L41" s="18">
        <v>0</v>
      </c>
      <c r="M41" s="14" t="s">
        <v>229</v>
      </c>
      <c r="N41" s="14" t="s">
        <v>284</v>
      </c>
    </row>
    <row r="42" spans="1:14">
      <c r="A42" s="14">
        <v>8467676945</v>
      </c>
      <c r="B42" s="14" t="str">
        <f t="shared" si="0"/>
        <v>8467676945,</v>
      </c>
      <c r="C42" s="15">
        <v>46000</v>
      </c>
      <c r="D42" s="14">
        <v>1</v>
      </c>
      <c r="E42" s="16" t="s">
        <v>217</v>
      </c>
      <c r="F42" s="14" t="s">
        <v>218</v>
      </c>
      <c r="G42" s="14" t="s">
        <v>112</v>
      </c>
      <c r="H42" s="14" t="s">
        <v>115</v>
      </c>
      <c r="I42" s="14" t="s">
        <v>224</v>
      </c>
      <c r="J42" s="14">
        <v>710</v>
      </c>
      <c r="K42" s="17">
        <v>50</v>
      </c>
      <c r="L42" s="18">
        <v>660</v>
      </c>
      <c r="M42" s="14" t="s">
        <v>220</v>
      </c>
      <c r="N42" s="14" t="s">
        <v>221</v>
      </c>
    </row>
    <row r="43" spans="1:14" hidden="1">
      <c r="A43" s="14" t="s">
        <v>285</v>
      </c>
      <c r="B43" s="14"/>
      <c r="C43" s="15">
        <v>46004</v>
      </c>
      <c r="D43" s="14">
        <v>1</v>
      </c>
      <c r="E43" s="16" t="s">
        <v>217</v>
      </c>
      <c r="F43" s="14" t="s">
        <v>218</v>
      </c>
      <c r="G43" s="14" t="s">
        <v>286</v>
      </c>
      <c r="H43" s="14" t="s">
        <v>287</v>
      </c>
      <c r="I43" s="14" t="s">
        <v>224</v>
      </c>
      <c r="J43" s="14">
        <v>0</v>
      </c>
      <c r="K43" s="17">
        <v>50</v>
      </c>
      <c r="L43" s="18">
        <v>-50</v>
      </c>
      <c r="M43" s="14" t="s">
        <v>220</v>
      </c>
      <c r="N43" s="14" t="s">
        <v>288</v>
      </c>
    </row>
    <row r="44" spans="1:14" hidden="1">
      <c r="A44" s="14">
        <v>7488393645</v>
      </c>
      <c r="B44" s="14" t="str">
        <f t="shared" ref="B44:B50" si="1">CONCATENATE(A44,",")</f>
        <v>7488393645,</v>
      </c>
      <c r="C44" s="15">
        <v>46004</v>
      </c>
      <c r="D44" s="14">
        <v>1</v>
      </c>
      <c r="E44" s="16" t="s">
        <v>217</v>
      </c>
      <c r="F44" s="14" t="s">
        <v>218</v>
      </c>
      <c r="G44" s="14" t="s">
        <v>289</v>
      </c>
      <c r="H44" s="14" t="s">
        <v>290</v>
      </c>
      <c r="I44" s="14" t="s">
        <v>224</v>
      </c>
      <c r="J44" s="14">
        <v>50</v>
      </c>
      <c r="K44" s="14">
        <v>50</v>
      </c>
      <c r="L44" s="18">
        <v>0</v>
      </c>
      <c r="M44" s="14" t="s">
        <v>229</v>
      </c>
      <c r="N44" s="14" t="s">
        <v>284</v>
      </c>
    </row>
    <row r="45" spans="1:14">
      <c r="A45" s="14">
        <v>8467839945</v>
      </c>
      <c r="B45" s="14" t="str">
        <f t="shared" si="1"/>
        <v>8467839945,</v>
      </c>
      <c r="C45" s="15">
        <v>46004</v>
      </c>
      <c r="D45" s="14">
        <v>1</v>
      </c>
      <c r="E45" s="16" t="s">
        <v>217</v>
      </c>
      <c r="F45" s="14" t="s">
        <v>218</v>
      </c>
      <c r="G45" s="14" t="s">
        <v>193</v>
      </c>
      <c r="H45" s="14" t="s">
        <v>195</v>
      </c>
      <c r="I45" s="14" t="s">
        <v>224</v>
      </c>
      <c r="J45" s="14">
        <v>650</v>
      </c>
      <c r="K45" s="17">
        <v>50</v>
      </c>
      <c r="L45" s="18">
        <v>600</v>
      </c>
      <c r="M45" s="14" t="s">
        <v>220</v>
      </c>
      <c r="N45" s="14" t="s">
        <v>221</v>
      </c>
    </row>
    <row r="46" spans="1:14">
      <c r="A46" s="14">
        <v>3493568347</v>
      </c>
      <c r="B46" s="14" t="str">
        <f t="shared" si="1"/>
        <v>3493568347,</v>
      </c>
      <c r="C46" s="15">
        <v>46000</v>
      </c>
      <c r="D46" s="14">
        <v>1</v>
      </c>
      <c r="E46" s="16" t="s">
        <v>217</v>
      </c>
      <c r="F46" s="14" t="s">
        <v>218</v>
      </c>
      <c r="G46" s="14" t="s">
        <v>134</v>
      </c>
      <c r="H46" s="14" t="s">
        <v>136</v>
      </c>
      <c r="I46" s="14" t="s">
        <v>224</v>
      </c>
      <c r="J46" s="14">
        <v>650</v>
      </c>
      <c r="K46" s="17">
        <v>50</v>
      </c>
      <c r="L46" s="18">
        <v>600</v>
      </c>
      <c r="M46" s="14" t="s">
        <v>220</v>
      </c>
      <c r="N46" s="14" t="s">
        <v>221</v>
      </c>
    </row>
    <row r="47" spans="1:14">
      <c r="A47" s="14">
        <v>3457935348</v>
      </c>
      <c r="B47" s="14" t="str">
        <f t="shared" si="1"/>
        <v>3457935348,</v>
      </c>
      <c r="C47" s="15">
        <v>45999</v>
      </c>
      <c r="D47" s="14">
        <v>1</v>
      </c>
      <c r="E47" s="16" t="s">
        <v>217</v>
      </c>
      <c r="F47" s="14" t="s">
        <v>218</v>
      </c>
      <c r="G47" s="14" t="s">
        <v>94</v>
      </c>
      <c r="H47" s="14" t="s">
        <v>98</v>
      </c>
      <c r="I47" s="14" t="s">
        <v>237</v>
      </c>
      <c r="J47" s="14">
        <v>1050</v>
      </c>
      <c r="K47" s="17">
        <v>50</v>
      </c>
      <c r="L47" s="18">
        <v>1000</v>
      </c>
      <c r="M47" s="14" t="s">
        <v>220</v>
      </c>
      <c r="N47" s="14" t="s">
        <v>221</v>
      </c>
    </row>
    <row r="48" spans="1:14">
      <c r="A48" s="14">
        <v>3457999848</v>
      </c>
      <c r="B48" s="14" t="str">
        <f t="shared" si="1"/>
        <v>3457999848,</v>
      </c>
      <c r="C48" s="15">
        <v>46001</v>
      </c>
      <c r="D48" s="14">
        <v>1</v>
      </c>
      <c r="E48" s="16" t="s">
        <v>217</v>
      </c>
      <c r="F48" s="14" t="s">
        <v>218</v>
      </c>
      <c r="G48" s="14" t="s">
        <v>125</v>
      </c>
      <c r="H48" s="14" t="s">
        <v>127</v>
      </c>
      <c r="I48" s="14" t="s">
        <v>237</v>
      </c>
      <c r="J48" s="14">
        <v>700</v>
      </c>
      <c r="K48" s="17">
        <v>50</v>
      </c>
      <c r="L48" s="18">
        <v>650</v>
      </c>
      <c r="M48" s="14" t="s">
        <v>220</v>
      </c>
      <c r="N48" s="14" t="s">
        <v>221</v>
      </c>
    </row>
    <row r="49" spans="1:14">
      <c r="A49" s="14">
        <v>8467863745</v>
      </c>
      <c r="B49" s="14" t="str">
        <f t="shared" si="1"/>
        <v>8467863745,</v>
      </c>
      <c r="C49" s="15">
        <v>46004</v>
      </c>
      <c r="D49" s="14">
        <v>1</v>
      </c>
      <c r="E49" s="16" t="s">
        <v>217</v>
      </c>
      <c r="F49" s="14" t="s">
        <v>218</v>
      </c>
      <c r="G49" s="14" t="s">
        <v>183</v>
      </c>
      <c r="H49" s="14" t="s">
        <v>184</v>
      </c>
      <c r="I49" s="14" t="s">
        <v>237</v>
      </c>
      <c r="J49" s="14">
        <v>650</v>
      </c>
      <c r="K49" s="17">
        <v>50</v>
      </c>
      <c r="L49" s="18">
        <v>600</v>
      </c>
      <c r="M49" s="14" t="s">
        <v>220</v>
      </c>
      <c r="N49" s="14" t="s">
        <v>221</v>
      </c>
    </row>
    <row r="50" spans="1:14" ht="18" hidden="1">
      <c r="A50" s="20" t="s">
        <v>291</v>
      </c>
      <c r="B50" s="14" t="str">
        <f t="shared" si="1"/>
        <v>برجاء مراجعة النقدية قبل المغادرة والاحتفاظ بهذه النسخة مع سيادتكم للرجوع إليها فى حالة وجود مشكلة,</v>
      </c>
      <c r="C50" s="21"/>
      <c r="D50" s="21"/>
      <c r="E50" s="21"/>
      <c r="F50" s="21"/>
      <c r="G50" s="21"/>
      <c r="H50" s="22"/>
      <c r="I50" s="23"/>
      <c r="J50" s="23">
        <v>13560</v>
      </c>
      <c r="K50" s="24">
        <v>1276</v>
      </c>
      <c r="L50" s="25">
        <v>12284</v>
      </c>
      <c r="M50" s="26"/>
      <c r="N50" s="27"/>
    </row>
    <row r="70230" spans="1:8">
      <c r="A70230" s="28"/>
      <c r="B70230" s="28"/>
      <c r="C70230" s="28"/>
      <c r="D70230" s="28"/>
      <c r="E70230" s="28"/>
      <c r="F70230" s="28"/>
      <c r="G70230" s="28"/>
      <c r="H70230" s="28"/>
    </row>
  </sheetData>
  <autoFilter ref="A2:N50">
    <filterColumn colId="0">
      <filters>
        <filter val="n3433379645"/>
        <filter val="n3433656745"/>
        <filter val="n3433665645"/>
        <filter val="N3433675645"/>
        <filter val="n3433685945"/>
        <filter val="n3433839945"/>
        <filter val="n3433875945"/>
        <filter val="n3457389848"/>
        <filter val="n3457393348"/>
        <filter val="n3457678348"/>
        <filter val="n3457699348"/>
        <filter val="n3457789348"/>
        <filter val="n3457935348"/>
        <filter val="n3457958348"/>
        <filter val="N3457973848"/>
        <filter val="n3457993848"/>
        <filter val="n3457999848"/>
        <filter val="n3493369847"/>
        <filter val="n3493377647"/>
        <filter val="n3493388347"/>
        <filter val="n3493537347"/>
        <filter val="n3493568347"/>
        <filter val="n3493579847"/>
        <filter val="n3493588647"/>
        <filter val="N3493633647"/>
        <filter val="n3493637647"/>
        <filter val="n3493665347"/>
        <filter val="N3493686847"/>
        <filter val="n5475836348"/>
        <filter val="n5475889948"/>
        <filter val="n5475956348"/>
        <filter val="N5475957348"/>
        <filter val="n7486963645"/>
        <filter val="n7486999945"/>
        <filter val="n7488378945"/>
        <filter val="n7488383545"/>
        <filter val="n7488393645"/>
        <filter val="n7488635545"/>
        <filter val="n7488655545"/>
        <filter val="n7488853945"/>
        <filter val="n7488976645"/>
        <filter val="n8467633845"/>
        <filter val="n8467676945"/>
        <filter val="n8467779845"/>
        <filter val="n8467839945"/>
        <filter val="n8467863745"/>
        <filter val="برجاء مراجعة النقدية قبل المغادرة والاحتفاظ بهذه النسخة مع سيادتكم للرجوع إليها فى حالة وجود مشكلة"/>
      </filters>
    </filterColumn>
    <filterColumn colId="12">
      <filters>
        <filter val="collected"/>
      </filters>
    </filterColumn>
  </autoFilter>
  <mergeCells count="2">
    <mergeCell ref="A1:N1"/>
    <mergeCell ref="A70230:H702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3"/>
  <sheetViews>
    <sheetView topLeftCell="AC1" workbookViewId="0">
      <selection activeCell="AF20" sqref="AF20"/>
    </sheetView>
  </sheetViews>
  <sheetFormatPr defaultRowHeight="15"/>
  <cols>
    <col min="1" max="1" width="12.7109375" style="3" bestFit="1" customWidth="1"/>
    <col min="2" max="2" width="22.28515625" style="3" bestFit="1" customWidth="1"/>
    <col min="3" max="3" width="25.42578125" style="3" bestFit="1" customWidth="1"/>
    <col min="4" max="4" width="36.28515625" style="3" bestFit="1" customWidth="1"/>
    <col min="5" max="5" width="42.5703125" style="3" bestFit="1" customWidth="1"/>
    <col min="6" max="6" width="27" style="3" bestFit="1" customWidth="1"/>
    <col min="7" max="7" width="80.28515625" style="3" bestFit="1" customWidth="1"/>
    <col min="8" max="9" width="23.85546875" style="3" bestFit="1" customWidth="1"/>
    <col min="10" max="10" width="19" style="3" bestFit="1" customWidth="1"/>
    <col min="11" max="11" width="15.85546875" style="3" bestFit="1" customWidth="1"/>
    <col min="12" max="12" width="17.42578125" style="3" bestFit="1" customWidth="1"/>
    <col min="13" max="13" width="23.7109375" style="3" bestFit="1" customWidth="1"/>
    <col min="14" max="14" width="121.85546875" style="3" bestFit="1" customWidth="1"/>
    <col min="15" max="16" width="19" style="3" bestFit="1" customWidth="1"/>
    <col min="17" max="17" width="22.28515625" style="3" bestFit="1" customWidth="1"/>
    <col min="18" max="18" width="25.42578125" style="3" bestFit="1" customWidth="1"/>
    <col min="19" max="19" width="31.85546875" style="3" bestFit="1" customWidth="1"/>
    <col min="20" max="20" width="30.28515625" style="3" bestFit="1" customWidth="1"/>
    <col min="21" max="21" width="22.28515625" style="3" bestFit="1" customWidth="1"/>
    <col min="22" max="22" width="27" style="3" bestFit="1" customWidth="1"/>
    <col min="23" max="23" width="17.42578125" style="3" bestFit="1" customWidth="1"/>
    <col min="24" max="24" width="27" style="3" bestFit="1" customWidth="1"/>
    <col min="25" max="25" width="20.7109375" style="3" bestFit="1" customWidth="1"/>
    <col min="26" max="26" width="43" style="3" bestFit="1" customWidth="1"/>
    <col min="27" max="27" width="22.28515625" style="3" bestFit="1" customWidth="1"/>
    <col min="28" max="28" width="27" style="3" bestFit="1" customWidth="1"/>
    <col min="29" max="29" width="51" style="3" bestFit="1" customWidth="1"/>
    <col min="30" max="30" width="22.28515625" style="3" bestFit="1" customWidth="1"/>
    <col min="31" max="31" width="14.28515625" style="3" bestFit="1" customWidth="1"/>
    <col min="32" max="32" width="23.85546875" style="3" bestFit="1" customWidth="1"/>
    <col min="33" max="33" width="33.85546875" style="3" bestFit="1" customWidth="1"/>
    <col min="34" max="34" width="14.28515625" style="3" bestFit="1" customWidth="1"/>
    <col min="35" max="35" width="21.28515625" style="3" bestFit="1" customWidth="1"/>
    <col min="36" max="36" width="14.28515625" style="3" bestFit="1" customWidth="1"/>
    <col min="37" max="37" width="22.5703125" style="3" bestFit="1" customWidth="1"/>
    <col min="38" max="38" width="14.28515625" style="3" bestFit="1" customWidth="1"/>
    <col min="39" max="39" width="15.85546875" style="3" bestFit="1" customWidth="1"/>
    <col min="40" max="40" width="14.28515625" style="3" bestFit="1" customWidth="1"/>
    <col min="41" max="41" width="15.85546875" style="3" bestFit="1" customWidth="1"/>
    <col min="42" max="42" width="14.28515625" style="3" bestFit="1" customWidth="1"/>
    <col min="43" max="43" width="15.85546875" style="3" bestFit="1" customWidth="1"/>
    <col min="44" max="44" width="14.28515625" style="3" bestFit="1" customWidth="1"/>
    <col min="45" max="45" width="15.85546875" style="3" bestFit="1" customWidth="1"/>
    <col min="46" max="46" width="14.28515625" style="3" bestFit="1" customWidth="1"/>
    <col min="47" max="47" width="15.85546875" style="3" bestFit="1" customWidth="1"/>
    <col min="48" max="48" width="14.28515625" style="3" bestFit="1" customWidth="1"/>
    <col min="49" max="49" width="11.7109375" bestFit="1" customWidth="1"/>
    <col min="50" max="50" width="10.28515625" bestFit="1" customWidth="1"/>
    <col min="51" max="51" width="13.42578125" bestFit="1" customWidth="1"/>
    <col min="52" max="52" width="10.28515625" bestFit="1" customWidth="1"/>
    <col min="53" max="53" width="34.28515625" bestFit="1" customWidth="1"/>
    <col min="54" max="54" width="14.85546875" bestFit="1" customWidth="1"/>
    <col min="55" max="55" width="28.28515625" bestFit="1" customWidth="1"/>
    <col min="56" max="56" width="65.85546875" bestFit="1" customWidth="1"/>
    <col min="57" max="57" width="22.28515625" bestFit="1" customWidth="1"/>
    <col min="58" max="58" width="56.85546875" bestFit="1" customWidth="1"/>
    <col min="59" max="59" width="25.42578125" bestFit="1" customWidth="1"/>
    <col min="60" max="60" width="28.28515625" bestFit="1" customWidth="1"/>
    <col min="61" max="61" width="26.85546875" bestFit="1" customWidth="1"/>
    <col min="62" max="62" width="16.28515625" bestFit="1" customWidth="1"/>
    <col min="63" max="63" width="20" bestFit="1" customWidth="1"/>
    <col min="64" max="64" width="20.85546875" bestFit="1" customWidth="1"/>
  </cols>
  <sheetData>
    <row r="1" spans="1:64" ht="1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33</v>
      </c>
      <c r="AK1" s="2" t="s">
        <v>35</v>
      </c>
      <c r="AL1" s="2" t="s">
        <v>33</v>
      </c>
      <c r="AM1" s="2" t="s">
        <v>36</v>
      </c>
      <c r="AN1" s="2" t="s">
        <v>33</v>
      </c>
      <c r="AO1" s="2" t="s">
        <v>37</v>
      </c>
      <c r="AP1" s="2" t="s">
        <v>33</v>
      </c>
      <c r="AQ1" s="2" t="s">
        <v>38</v>
      </c>
      <c r="AR1" s="2" t="s">
        <v>33</v>
      </c>
      <c r="AS1" s="2" t="s">
        <v>39</v>
      </c>
      <c r="AT1" s="2" t="s">
        <v>33</v>
      </c>
      <c r="AU1" s="2" t="s">
        <v>40</v>
      </c>
      <c r="AV1" s="2" t="s">
        <v>33</v>
      </c>
      <c r="AW1" s="1" t="s">
        <v>41</v>
      </c>
      <c r="AX1" s="1" t="s">
        <v>33</v>
      </c>
      <c r="AY1" s="1" t="s">
        <v>42</v>
      </c>
      <c r="AZ1" s="1" t="s">
        <v>33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</row>
    <row r="2" spans="1:64">
      <c r="A2" s="3">
        <v>1</v>
      </c>
      <c r="B2" s="3">
        <v>3493388347</v>
      </c>
      <c r="D2" s="3" t="s">
        <v>55</v>
      </c>
      <c r="E2" s="3" t="s">
        <v>56</v>
      </c>
      <c r="G2" s="3" t="s">
        <v>57</v>
      </c>
      <c r="H2" s="3">
        <v>600</v>
      </c>
      <c r="J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Q2" s="3" t="s">
        <v>63</v>
      </c>
      <c r="S2" s="3" t="s">
        <v>64</v>
      </c>
      <c r="T2" s="3" t="s">
        <v>64</v>
      </c>
      <c r="U2" s="3" t="s">
        <v>64</v>
      </c>
      <c r="V2" s="3" t="s">
        <v>64</v>
      </c>
      <c r="W2" s="3" t="s">
        <v>65</v>
      </c>
      <c r="Y2" s="3" t="s">
        <v>66</v>
      </c>
      <c r="AF2" s="3">
        <v>2</v>
      </c>
      <c r="AG2" s="3" t="s">
        <v>67</v>
      </c>
      <c r="AH2" s="3">
        <v>1</v>
      </c>
      <c r="AI2" s="3" t="s">
        <v>68</v>
      </c>
      <c r="AJ2" s="3">
        <v>1</v>
      </c>
      <c r="BA2">
        <v>610</v>
      </c>
      <c r="BB2">
        <v>40</v>
      </c>
      <c r="BC2">
        <v>650</v>
      </c>
      <c r="BD2">
        <v>600</v>
      </c>
      <c r="BF2">
        <v>650</v>
      </c>
      <c r="BG2">
        <v>650</v>
      </c>
      <c r="BI2">
        <v>40</v>
      </c>
      <c r="BJ2" t="s">
        <v>69</v>
      </c>
      <c r="BK2" t="s">
        <v>70</v>
      </c>
    </row>
    <row r="3" spans="1:64">
      <c r="A3" s="3">
        <v>2</v>
      </c>
      <c r="B3" s="3">
        <v>8467779845</v>
      </c>
      <c r="D3" s="3" t="s">
        <v>71</v>
      </c>
      <c r="E3" s="3" t="s">
        <v>56</v>
      </c>
      <c r="G3" s="3" t="s">
        <v>57</v>
      </c>
      <c r="H3" s="3">
        <v>900</v>
      </c>
      <c r="J3" s="3" t="s">
        <v>58</v>
      </c>
      <c r="L3" s="3" t="s">
        <v>72</v>
      </c>
      <c r="M3" s="3" t="s">
        <v>73</v>
      </c>
      <c r="N3" s="3" t="s">
        <v>74</v>
      </c>
      <c r="O3" s="3" t="s">
        <v>75</v>
      </c>
      <c r="P3" s="3" t="s">
        <v>75</v>
      </c>
      <c r="Q3" s="3" t="s">
        <v>76</v>
      </c>
      <c r="S3" s="3" t="s">
        <v>77</v>
      </c>
      <c r="T3" s="3" t="s">
        <v>78</v>
      </c>
      <c r="U3" s="3" t="s">
        <v>78</v>
      </c>
      <c r="V3" s="3" t="s">
        <v>78</v>
      </c>
      <c r="W3" s="3" t="s">
        <v>65</v>
      </c>
      <c r="Y3" s="3" t="s">
        <v>66</v>
      </c>
      <c r="AF3" s="3">
        <v>3</v>
      </c>
      <c r="AG3" s="3" t="s">
        <v>79</v>
      </c>
      <c r="AH3" s="3">
        <v>1</v>
      </c>
      <c r="AI3" s="3" t="s">
        <v>80</v>
      </c>
      <c r="AJ3" s="3">
        <v>1</v>
      </c>
      <c r="AK3" s="3" t="s">
        <v>81</v>
      </c>
      <c r="AL3" s="3">
        <v>1</v>
      </c>
      <c r="BA3">
        <v>935</v>
      </c>
      <c r="BB3">
        <v>35</v>
      </c>
      <c r="BC3">
        <v>970</v>
      </c>
      <c r="BD3">
        <v>900</v>
      </c>
      <c r="BF3">
        <v>970</v>
      </c>
      <c r="BG3">
        <v>970</v>
      </c>
      <c r="BI3">
        <v>35</v>
      </c>
      <c r="BJ3" t="s">
        <v>69</v>
      </c>
      <c r="BK3" t="s">
        <v>82</v>
      </c>
    </row>
    <row r="4" spans="1:64">
      <c r="A4" s="3">
        <v>3</v>
      </c>
      <c r="B4" s="3">
        <v>3493369847</v>
      </c>
      <c r="D4" s="3" t="s">
        <v>83</v>
      </c>
      <c r="E4" s="3" t="s">
        <v>56</v>
      </c>
      <c r="G4" s="3" t="s">
        <v>57</v>
      </c>
      <c r="H4" s="3">
        <v>600</v>
      </c>
      <c r="J4" s="3" t="s">
        <v>58</v>
      </c>
      <c r="L4" s="3" t="s">
        <v>59</v>
      </c>
      <c r="M4" s="3" t="s">
        <v>84</v>
      </c>
      <c r="N4" s="3" t="s">
        <v>85</v>
      </c>
      <c r="O4" s="3" t="s">
        <v>86</v>
      </c>
      <c r="P4" s="3" t="s">
        <v>87</v>
      </c>
      <c r="Q4" s="3" t="s">
        <v>64</v>
      </c>
      <c r="S4" s="3" t="s">
        <v>77</v>
      </c>
      <c r="T4" s="3" t="s">
        <v>78</v>
      </c>
      <c r="U4" s="3" t="s">
        <v>78</v>
      </c>
      <c r="V4" s="3" t="s">
        <v>78</v>
      </c>
      <c r="W4" s="3" t="s">
        <v>65</v>
      </c>
      <c r="Y4" s="3" t="s">
        <v>66</v>
      </c>
      <c r="AF4" s="3">
        <v>2</v>
      </c>
      <c r="AG4" s="3" t="s">
        <v>88</v>
      </c>
      <c r="AH4" s="3">
        <v>1</v>
      </c>
      <c r="AI4" s="3" t="s">
        <v>89</v>
      </c>
      <c r="AJ4" s="3">
        <v>1</v>
      </c>
      <c r="BA4">
        <v>660</v>
      </c>
      <c r="BB4">
        <v>40</v>
      </c>
      <c r="BC4">
        <v>700</v>
      </c>
      <c r="BD4">
        <v>600</v>
      </c>
      <c r="BF4">
        <v>700</v>
      </c>
      <c r="BG4">
        <v>700</v>
      </c>
      <c r="BI4">
        <v>40</v>
      </c>
      <c r="BJ4" t="s">
        <v>69</v>
      </c>
      <c r="BK4" t="s">
        <v>82</v>
      </c>
    </row>
    <row r="5" spans="1:64">
      <c r="A5" s="3">
        <v>4</v>
      </c>
      <c r="B5" s="3">
        <v>3493588647</v>
      </c>
      <c r="D5" s="3" t="s">
        <v>90</v>
      </c>
      <c r="E5" s="3" t="s">
        <v>56</v>
      </c>
      <c r="G5" s="3" t="s">
        <v>57</v>
      </c>
      <c r="H5" s="3">
        <v>300</v>
      </c>
      <c r="J5" s="3" t="s">
        <v>58</v>
      </c>
      <c r="L5" s="3" t="s">
        <v>72</v>
      </c>
      <c r="M5" s="3" t="s">
        <v>73</v>
      </c>
      <c r="N5" s="3" t="s">
        <v>91</v>
      </c>
      <c r="O5" s="3" t="s">
        <v>92</v>
      </c>
      <c r="P5" s="3" t="s">
        <v>92</v>
      </c>
      <c r="Q5" s="3" t="s">
        <v>64</v>
      </c>
      <c r="S5" s="3" t="s">
        <v>77</v>
      </c>
      <c r="T5" s="3" t="s">
        <v>78</v>
      </c>
      <c r="U5" s="3" t="s">
        <v>78</v>
      </c>
      <c r="V5" s="3" t="s">
        <v>78</v>
      </c>
      <c r="W5" s="3" t="s">
        <v>65</v>
      </c>
      <c r="Y5" s="3" t="s">
        <v>66</v>
      </c>
      <c r="AF5" s="3">
        <v>1</v>
      </c>
      <c r="AG5" s="3" t="s">
        <v>93</v>
      </c>
      <c r="AH5" s="3">
        <v>1</v>
      </c>
      <c r="BA5">
        <v>435</v>
      </c>
      <c r="BB5">
        <v>35</v>
      </c>
      <c r="BC5">
        <v>470</v>
      </c>
      <c r="BD5">
        <v>300</v>
      </c>
      <c r="BF5">
        <v>470</v>
      </c>
      <c r="BG5">
        <v>470</v>
      </c>
      <c r="BI5">
        <v>35</v>
      </c>
      <c r="BJ5" t="s">
        <v>69</v>
      </c>
      <c r="BK5" t="s">
        <v>82</v>
      </c>
    </row>
    <row r="6" spans="1:64">
      <c r="A6" s="3">
        <v>5</v>
      </c>
      <c r="B6" s="3">
        <v>3457935348</v>
      </c>
      <c r="D6" s="3" t="s">
        <v>94</v>
      </c>
      <c r="E6" s="3" t="s">
        <v>56</v>
      </c>
      <c r="G6" s="3" t="s">
        <v>95</v>
      </c>
      <c r="H6" s="3">
        <v>1200</v>
      </c>
      <c r="J6" s="3" t="s">
        <v>58</v>
      </c>
      <c r="L6" s="3" t="s">
        <v>96</v>
      </c>
      <c r="M6" s="3" t="s">
        <v>97</v>
      </c>
      <c r="N6" s="3" t="s">
        <v>98</v>
      </c>
      <c r="O6" s="3" t="s">
        <v>99</v>
      </c>
      <c r="Q6" s="3" t="s">
        <v>77</v>
      </c>
      <c r="S6" s="3" t="s">
        <v>78</v>
      </c>
      <c r="T6" s="3" t="s">
        <v>78</v>
      </c>
      <c r="U6" s="3" t="s">
        <v>78</v>
      </c>
      <c r="V6" s="3" t="s">
        <v>78</v>
      </c>
      <c r="W6" s="3" t="s">
        <v>65</v>
      </c>
      <c r="Y6" s="3" t="s">
        <v>66</v>
      </c>
      <c r="AF6" s="3">
        <v>3</v>
      </c>
      <c r="AG6" s="3" t="s">
        <v>100</v>
      </c>
      <c r="AH6" s="3">
        <v>1</v>
      </c>
      <c r="AI6" s="3" t="s">
        <v>101</v>
      </c>
      <c r="AJ6" s="3">
        <v>1</v>
      </c>
      <c r="AK6" s="3" t="s">
        <v>102</v>
      </c>
      <c r="AL6" s="3">
        <v>1</v>
      </c>
      <c r="BA6">
        <v>1015</v>
      </c>
      <c r="BB6">
        <v>35</v>
      </c>
      <c r="BC6">
        <v>1050</v>
      </c>
      <c r="BD6">
        <v>1200</v>
      </c>
      <c r="BF6">
        <v>1050</v>
      </c>
      <c r="BG6">
        <v>1050</v>
      </c>
      <c r="BI6">
        <v>35</v>
      </c>
      <c r="BJ6" t="s">
        <v>69</v>
      </c>
      <c r="BK6" t="s">
        <v>103</v>
      </c>
    </row>
    <row r="7" spans="1:64">
      <c r="A7" s="3">
        <v>6</v>
      </c>
      <c r="B7" s="3">
        <v>3433675645</v>
      </c>
      <c r="D7" s="3" t="s">
        <v>104</v>
      </c>
      <c r="E7" s="3" t="s">
        <v>56</v>
      </c>
      <c r="G7" s="3" t="s">
        <v>57</v>
      </c>
      <c r="H7" s="3">
        <v>900</v>
      </c>
      <c r="J7" s="3" t="s">
        <v>58</v>
      </c>
      <c r="L7" s="3" t="s">
        <v>59</v>
      </c>
      <c r="M7" s="3" t="s">
        <v>105</v>
      </c>
      <c r="N7" s="3" t="s">
        <v>106</v>
      </c>
      <c r="O7" s="3" t="s">
        <v>107</v>
      </c>
      <c r="P7" s="3" t="s">
        <v>107</v>
      </c>
      <c r="Q7" s="3" t="s">
        <v>77</v>
      </c>
      <c r="S7" s="3" t="s">
        <v>108</v>
      </c>
      <c r="T7" s="3" t="s">
        <v>108</v>
      </c>
      <c r="U7" s="3" t="s">
        <v>108</v>
      </c>
      <c r="V7" s="3" t="s">
        <v>108</v>
      </c>
      <c r="W7" s="3" t="s">
        <v>65</v>
      </c>
      <c r="Y7" s="3" t="s">
        <v>66</v>
      </c>
      <c r="AF7" s="3">
        <v>3</v>
      </c>
      <c r="AG7" s="3" t="s">
        <v>109</v>
      </c>
      <c r="AH7" s="3">
        <v>1</v>
      </c>
      <c r="AI7" s="3" t="s">
        <v>110</v>
      </c>
      <c r="AJ7" s="3">
        <v>1</v>
      </c>
      <c r="AK7" s="3" t="s">
        <v>111</v>
      </c>
      <c r="AL7" s="3">
        <v>1</v>
      </c>
      <c r="BA7">
        <v>810</v>
      </c>
      <c r="BB7">
        <v>40</v>
      </c>
      <c r="BC7">
        <v>850</v>
      </c>
      <c r="BD7">
        <v>900</v>
      </c>
      <c r="BF7">
        <v>850</v>
      </c>
      <c r="BG7">
        <v>850</v>
      </c>
      <c r="BI7">
        <v>40</v>
      </c>
      <c r="BJ7" t="s">
        <v>69</v>
      </c>
      <c r="BK7" t="s">
        <v>70</v>
      </c>
    </row>
    <row r="8" spans="1:64">
      <c r="A8" s="3">
        <v>7</v>
      </c>
      <c r="B8" s="3">
        <v>8467676945</v>
      </c>
      <c r="D8" s="3" t="s">
        <v>112</v>
      </c>
      <c r="E8" s="3" t="s">
        <v>56</v>
      </c>
      <c r="G8" s="3" t="s">
        <v>57</v>
      </c>
      <c r="H8" s="3">
        <v>600</v>
      </c>
      <c r="J8" s="3" t="s">
        <v>58</v>
      </c>
      <c r="L8" s="3" t="s">
        <v>113</v>
      </c>
      <c r="M8" s="3" t="s">
        <v>114</v>
      </c>
      <c r="N8" s="3" t="s">
        <v>115</v>
      </c>
      <c r="O8" s="3" t="s">
        <v>116</v>
      </c>
      <c r="Q8" s="3" t="s">
        <v>78</v>
      </c>
      <c r="S8" s="3" t="s">
        <v>117</v>
      </c>
      <c r="T8" s="3" t="s">
        <v>117</v>
      </c>
      <c r="U8" s="3" t="s">
        <v>117</v>
      </c>
      <c r="V8" s="3" t="s">
        <v>117</v>
      </c>
      <c r="W8" s="3" t="s">
        <v>65</v>
      </c>
      <c r="Y8" s="3" t="s">
        <v>66</v>
      </c>
      <c r="AF8" s="3">
        <v>2</v>
      </c>
      <c r="AG8" s="3" t="s">
        <v>118</v>
      </c>
      <c r="AH8" s="3">
        <v>1</v>
      </c>
      <c r="AI8" s="3" t="s">
        <v>119</v>
      </c>
      <c r="AJ8" s="3">
        <v>1</v>
      </c>
      <c r="BA8">
        <v>670</v>
      </c>
      <c r="BB8">
        <v>40</v>
      </c>
      <c r="BC8">
        <v>710</v>
      </c>
      <c r="BD8">
        <v>600</v>
      </c>
      <c r="BF8">
        <v>710</v>
      </c>
      <c r="BG8">
        <v>710</v>
      </c>
      <c r="BI8">
        <v>40</v>
      </c>
      <c r="BJ8" t="s">
        <v>69</v>
      </c>
      <c r="BK8" t="s">
        <v>70</v>
      </c>
    </row>
    <row r="9" spans="1:64">
      <c r="A9" s="3">
        <v>8</v>
      </c>
      <c r="B9" s="3">
        <v>3493537347</v>
      </c>
      <c r="D9" s="3" t="s">
        <v>120</v>
      </c>
      <c r="E9" s="3" t="s">
        <v>56</v>
      </c>
      <c r="G9" s="3" t="s">
        <v>57</v>
      </c>
      <c r="H9" s="3">
        <v>600</v>
      </c>
      <c r="J9" s="3" t="s">
        <v>58</v>
      </c>
      <c r="L9" s="3" t="s">
        <v>59</v>
      </c>
      <c r="M9" s="3" t="s">
        <v>84</v>
      </c>
      <c r="N9" s="3" t="s">
        <v>121</v>
      </c>
      <c r="O9" s="3" t="s">
        <v>122</v>
      </c>
      <c r="Q9" s="3" t="s">
        <v>78</v>
      </c>
      <c r="S9" s="3" t="s">
        <v>117</v>
      </c>
      <c r="T9" s="3" t="s">
        <v>117</v>
      </c>
      <c r="U9" s="3" t="s">
        <v>117</v>
      </c>
      <c r="V9" s="3" t="s">
        <v>117</v>
      </c>
      <c r="W9" s="3" t="s">
        <v>65</v>
      </c>
      <c r="Y9" s="3" t="s">
        <v>66</v>
      </c>
      <c r="AF9" s="3">
        <v>2</v>
      </c>
      <c r="AG9" s="3" t="s">
        <v>123</v>
      </c>
      <c r="AH9" s="3">
        <v>1</v>
      </c>
      <c r="AI9" s="3" t="s">
        <v>124</v>
      </c>
      <c r="AJ9" s="3">
        <v>1</v>
      </c>
      <c r="BA9">
        <v>660</v>
      </c>
      <c r="BB9">
        <v>40</v>
      </c>
      <c r="BC9">
        <v>700</v>
      </c>
      <c r="BD9">
        <v>600</v>
      </c>
      <c r="BF9">
        <v>700</v>
      </c>
      <c r="BG9">
        <v>700</v>
      </c>
      <c r="BI9">
        <v>40</v>
      </c>
      <c r="BJ9" t="s">
        <v>69</v>
      </c>
      <c r="BK9" t="s">
        <v>82</v>
      </c>
    </row>
    <row r="10" spans="1:64">
      <c r="A10" s="3">
        <v>9</v>
      </c>
      <c r="B10" s="3">
        <v>3457999848</v>
      </c>
      <c r="D10" s="3" t="s">
        <v>125</v>
      </c>
      <c r="E10" s="3" t="s">
        <v>56</v>
      </c>
      <c r="G10" s="3" t="s">
        <v>57</v>
      </c>
      <c r="H10" s="3">
        <v>600</v>
      </c>
      <c r="J10" s="3" t="s">
        <v>58</v>
      </c>
      <c r="L10" s="3" t="s">
        <v>96</v>
      </c>
      <c r="M10" s="3" t="s">
        <v>126</v>
      </c>
      <c r="N10" s="3" t="s">
        <v>127</v>
      </c>
      <c r="O10" s="3" t="s">
        <v>128</v>
      </c>
      <c r="P10" s="3" t="s">
        <v>128</v>
      </c>
      <c r="Q10" s="3" t="s">
        <v>78</v>
      </c>
      <c r="S10" s="3" t="s">
        <v>129</v>
      </c>
      <c r="T10" s="3" t="s">
        <v>129</v>
      </c>
      <c r="U10" s="3" t="s">
        <v>129</v>
      </c>
      <c r="V10" s="3" t="s">
        <v>129</v>
      </c>
      <c r="W10" s="3" t="s">
        <v>65</v>
      </c>
      <c r="Y10" s="3" t="s">
        <v>66</v>
      </c>
      <c r="AF10" s="3">
        <v>2</v>
      </c>
      <c r="AG10" s="3" t="s">
        <v>118</v>
      </c>
      <c r="AH10" s="3">
        <v>1</v>
      </c>
      <c r="AI10" s="3" t="s">
        <v>119</v>
      </c>
      <c r="AJ10" s="3">
        <v>1</v>
      </c>
      <c r="BA10">
        <v>665</v>
      </c>
      <c r="BB10">
        <v>35</v>
      </c>
      <c r="BC10">
        <v>700</v>
      </c>
      <c r="BD10">
        <v>600</v>
      </c>
      <c r="BF10">
        <v>700</v>
      </c>
      <c r="BG10">
        <v>700</v>
      </c>
      <c r="BI10">
        <v>35</v>
      </c>
      <c r="BJ10" t="s">
        <v>69</v>
      </c>
      <c r="BK10" t="s">
        <v>82</v>
      </c>
    </row>
    <row r="11" spans="1:64">
      <c r="A11" s="3">
        <v>10</v>
      </c>
      <c r="B11" s="3">
        <v>3433665645</v>
      </c>
      <c r="D11" s="3" t="s">
        <v>130</v>
      </c>
      <c r="E11" s="3" t="s">
        <v>56</v>
      </c>
      <c r="G11" s="3" t="s">
        <v>57</v>
      </c>
      <c r="H11" s="3">
        <v>600</v>
      </c>
      <c r="J11" s="3" t="s">
        <v>58</v>
      </c>
      <c r="L11" s="3" t="s">
        <v>59</v>
      </c>
      <c r="M11" s="3" t="s">
        <v>131</v>
      </c>
      <c r="N11" s="3" t="s">
        <v>132</v>
      </c>
      <c r="O11" s="3" t="s">
        <v>133</v>
      </c>
      <c r="P11" s="3" t="s">
        <v>133</v>
      </c>
      <c r="Q11" s="3" t="s">
        <v>78</v>
      </c>
      <c r="S11" s="3" t="s">
        <v>129</v>
      </c>
      <c r="T11" s="3" t="s">
        <v>129</v>
      </c>
      <c r="U11" s="3" t="s">
        <v>129</v>
      </c>
      <c r="V11" s="3" t="s">
        <v>129</v>
      </c>
      <c r="W11" s="3" t="s">
        <v>65</v>
      </c>
      <c r="Y11" s="3" t="s">
        <v>66</v>
      </c>
      <c r="AF11" s="3">
        <v>2</v>
      </c>
      <c r="AG11" s="3" t="s">
        <v>79</v>
      </c>
      <c r="AH11" s="3">
        <v>1</v>
      </c>
      <c r="AI11" s="3" t="s">
        <v>119</v>
      </c>
      <c r="AJ11" s="3">
        <v>1</v>
      </c>
      <c r="BA11">
        <v>660</v>
      </c>
      <c r="BB11">
        <v>40</v>
      </c>
      <c r="BC11">
        <v>700</v>
      </c>
      <c r="BD11">
        <v>600</v>
      </c>
      <c r="BF11">
        <v>700</v>
      </c>
      <c r="BG11">
        <v>700</v>
      </c>
      <c r="BI11">
        <v>40</v>
      </c>
      <c r="BJ11" t="s">
        <v>69</v>
      </c>
      <c r="BK11" t="s">
        <v>82</v>
      </c>
    </row>
    <row r="12" spans="1:64">
      <c r="A12" s="3">
        <v>11</v>
      </c>
      <c r="B12" s="3">
        <v>3493568347</v>
      </c>
      <c r="D12" s="3" t="s">
        <v>134</v>
      </c>
      <c r="E12" s="3" t="s">
        <v>56</v>
      </c>
      <c r="G12" s="3" t="s">
        <v>57</v>
      </c>
      <c r="H12" s="3">
        <v>600</v>
      </c>
      <c r="J12" s="3" t="s">
        <v>58</v>
      </c>
      <c r="L12" s="3" t="s">
        <v>59</v>
      </c>
      <c r="M12" s="3" t="s">
        <v>135</v>
      </c>
      <c r="N12" s="3" t="s">
        <v>136</v>
      </c>
      <c r="O12" s="3" t="s">
        <v>137</v>
      </c>
      <c r="P12" s="3" t="s">
        <v>137</v>
      </c>
      <c r="Q12" s="3" t="s">
        <v>78</v>
      </c>
      <c r="S12" s="3" t="s">
        <v>117</v>
      </c>
      <c r="T12" s="3" t="s">
        <v>117</v>
      </c>
      <c r="U12" s="3" t="s">
        <v>117</v>
      </c>
      <c r="V12" s="3" t="s">
        <v>117</v>
      </c>
      <c r="W12" s="3" t="s">
        <v>65</v>
      </c>
      <c r="Y12" s="3" t="s">
        <v>66</v>
      </c>
      <c r="AF12" s="3">
        <v>2</v>
      </c>
      <c r="AG12" s="3" t="s">
        <v>138</v>
      </c>
      <c r="AH12" s="3">
        <v>1</v>
      </c>
      <c r="AI12" s="3" t="s">
        <v>139</v>
      </c>
      <c r="AJ12" s="3">
        <v>1</v>
      </c>
      <c r="BA12">
        <v>610</v>
      </c>
      <c r="BB12">
        <v>40</v>
      </c>
      <c r="BC12">
        <v>650</v>
      </c>
      <c r="BD12">
        <v>600</v>
      </c>
      <c r="BF12">
        <v>650</v>
      </c>
      <c r="BG12">
        <v>650</v>
      </c>
      <c r="BI12">
        <v>40</v>
      </c>
      <c r="BJ12" t="s">
        <v>69</v>
      </c>
      <c r="BK12" t="s">
        <v>82</v>
      </c>
    </row>
    <row r="13" spans="1:64">
      <c r="A13" s="3">
        <v>12</v>
      </c>
      <c r="B13" s="3">
        <v>3493579847</v>
      </c>
      <c r="D13" s="3" t="s">
        <v>140</v>
      </c>
      <c r="E13" s="3" t="s">
        <v>56</v>
      </c>
      <c r="G13" s="3" t="s">
        <v>57</v>
      </c>
      <c r="H13" s="3">
        <v>600</v>
      </c>
      <c r="J13" s="3" t="s">
        <v>58</v>
      </c>
      <c r="L13" s="3" t="s">
        <v>96</v>
      </c>
      <c r="M13" s="3" t="s">
        <v>141</v>
      </c>
      <c r="N13" s="3" t="s">
        <v>142</v>
      </c>
      <c r="O13" s="3" t="s">
        <v>143</v>
      </c>
      <c r="P13" s="3" t="s">
        <v>143</v>
      </c>
      <c r="Q13" s="3" t="s">
        <v>117</v>
      </c>
      <c r="S13" s="3" t="s">
        <v>129</v>
      </c>
      <c r="T13" s="3" t="s">
        <v>129</v>
      </c>
      <c r="U13" s="3" t="s">
        <v>129</v>
      </c>
      <c r="V13" s="3" t="s">
        <v>129</v>
      </c>
      <c r="W13" s="3" t="s">
        <v>65</v>
      </c>
      <c r="Y13" s="3" t="s">
        <v>66</v>
      </c>
      <c r="AF13" s="3">
        <v>2</v>
      </c>
      <c r="AG13" s="3" t="s">
        <v>144</v>
      </c>
      <c r="AH13" s="3">
        <v>1</v>
      </c>
      <c r="AI13" s="3" t="s">
        <v>145</v>
      </c>
      <c r="AJ13" s="3">
        <v>1</v>
      </c>
      <c r="BA13">
        <v>665</v>
      </c>
      <c r="BB13">
        <v>35</v>
      </c>
      <c r="BC13">
        <v>700</v>
      </c>
      <c r="BD13">
        <v>600</v>
      </c>
      <c r="BF13">
        <v>700</v>
      </c>
      <c r="BG13">
        <v>700</v>
      </c>
      <c r="BI13">
        <v>35</v>
      </c>
      <c r="BJ13" t="s">
        <v>69</v>
      </c>
      <c r="BK13" t="s">
        <v>70</v>
      </c>
    </row>
    <row r="14" spans="1:64">
      <c r="A14" s="3">
        <v>13</v>
      </c>
      <c r="B14" s="3">
        <v>5475957348</v>
      </c>
      <c r="D14" s="3" t="s">
        <v>146</v>
      </c>
      <c r="E14" s="3" t="s">
        <v>56</v>
      </c>
      <c r="G14" s="3" t="s">
        <v>57</v>
      </c>
      <c r="H14" s="3">
        <v>300</v>
      </c>
      <c r="J14" s="3" t="s">
        <v>58</v>
      </c>
      <c r="L14" s="3" t="s">
        <v>113</v>
      </c>
      <c r="M14" s="3" t="s">
        <v>147</v>
      </c>
      <c r="N14" s="3" t="s">
        <v>148</v>
      </c>
      <c r="O14" s="3" t="s">
        <v>149</v>
      </c>
      <c r="P14" s="3" t="s">
        <v>149</v>
      </c>
      <c r="Q14" s="3" t="s">
        <v>129</v>
      </c>
      <c r="S14" s="3" t="s">
        <v>108</v>
      </c>
      <c r="T14" s="3" t="s">
        <v>108</v>
      </c>
      <c r="U14" s="3" t="s">
        <v>108</v>
      </c>
      <c r="V14" s="3" t="s">
        <v>108</v>
      </c>
      <c r="W14" s="3" t="s">
        <v>65</v>
      </c>
      <c r="Y14" s="3" t="s">
        <v>66</v>
      </c>
      <c r="AF14" s="3">
        <v>1</v>
      </c>
      <c r="AG14" s="3" t="s">
        <v>150</v>
      </c>
      <c r="AH14" s="3">
        <v>1</v>
      </c>
      <c r="BA14">
        <v>420</v>
      </c>
      <c r="BB14">
        <v>40</v>
      </c>
      <c r="BC14">
        <v>460</v>
      </c>
      <c r="BD14">
        <v>300</v>
      </c>
      <c r="BF14">
        <v>460</v>
      </c>
      <c r="BG14">
        <v>460</v>
      </c>
      <c r="BI14">
        <v>40</v>
      </c>
      <c r="BJ14" t="s">
        <v>69</v>
      </c>
      <c r="BK14" t="s">
        <v>82</v>
      </c>
    </row>
    <row r="15" spans="1:64" s="5" customFormat="1">
      <c r="A15" s="4">
        <v>14</v>
      </c>
      <c r="B15" s="4">
        <v>3493633647</v>
      </c>
      <c r="C15" s="4"/>
      <c r="D15" s="4" t="s">
        <v>151</v>
      </c>
      <c r="E15" s="4" t="s">
        <v>152</v>
      </c>
      <c r="F15" s="4"/>
      <c r="G15" s="4" t="s">
        <v>57</v>
      </c>
      <c r="H15" s="4">
        <v>300</v>
      </c>
      <c r="I15" s="4"/>
      <c r="J15" s="4" t="s">
        <v>58</v>
      </c>
      <c r="K15" s="4"/>
      <c r="L15" s="4" t="s">
        <v>96</v>
      </c>
      <c r="M15" s="4" t="s">
        <v>153</v>
      </c>
      <c r="N15" s="4" t="s">
        <v>154</v>
      </c>
      <c r="O15" s="4" t="s">
        <v>155</v>
      </c>
      <c r="P15" s="4" t="s">
        <v>156</v>
      </c>
      <c r="Q15" s="4" t="s">
        <v>108</v>
      </c>
      <c r="R15" s="4"/>
      <c r="S15" s="4" t="s">
        <v>108</v>
      </c>
      <c r="T15" s="4" t="s">
        <v>108</v>
      </c>
      <c r="U15" s="4" t="s">
        <v>108</v>
      </c>
      <c r="V15" s="4" t="s">
        <v>108</v>
      </c>
      <c r="W15" s="4" t="s">
        <v>65</v>
      </c>
      <c r="X15" s="4"/>
      <c r="Y15" s="4" t="s">
        <v>66</v>
      </c>
      <c r="Z15" s="4"/>
      <c r="AA15" s="4"/>
      <c r="AB15" s="4"/>
      <c r="AC15" s="4"/>
      <c r="AD15" s="4"/>
      <c r="AE15" s="4"/>
      <c r="AF15" s="4">
        <v>1</v>
      </c>
      <c r="AG15" s="4" t="s">
        <v>138</v>
      </c>
      <c r="AH15" s="4">
        <v>1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BA15" s="5">
        <v>15</v>
      </c>
      <c r="BB15" s="5">
        <v>35</v>
      </c>
      <c r="BC15" s="5">
        <v>50</v>
      </c>
      <c r="BD15" s="5">
        <v>300</v>
      </c>
      <c r="BF15" s="5">
        <v>50</v>
      </c>
      <c r="BG15" s="5">
        <v>50</v>
      </c>
      <c r="BI15" s="5">
        <v>35</v>
      </c>
      <c r="BJ15" s="5" t="s">
        <v>69</v>
      </c>
    </row>
    <row r="16" spans="1:64" s="5" customFormat="1">
      <c r="A16" s="4">
        <v>15</v>
      </c>
      <c r="B16" s="4">
        <v>7488383545</v>
      </c>
      <c r="C16" s="4"/>
      <c r="D16" s="4" t="s">
        <v>157</v>
      </c>
      <c r="E16" s="4" t="s">
        <v>152</v>
      </c>
      <c r="F16" s="4"/>
      <c r="G16" s="4" t="s">
        <v>57</v>
      </c>
      <c r="H16" s="4">
        <v>600</v>
      </c>
      <c r="I16" s="4"/>
      <c r="J16" s="4" t="s">
        <v>58</v>
      </c>
      <c r="K16" s="4"/>
      <c r="L16" s="4" t="s">
        <v>59</v>
      </c>
      <c r="M16" s="4" t="s">
        <v>158</v>
      </c>
      <c r="N16" s="4" t="s">
        <v>159</v>
      </c>
      <c r="O16" s="4" t="s">
        <v>160</v>
      </c>
      <c r="P16" s="4"/>
      <c r="Q16" s="4" t="s">
        <v>108</v>
      </c>
      <c r="R16" s="4"/>
      <c r="S16" s="4" t="s">
        <v>161</v>
      </c>
      <c r="T16" s="4" t="s">
        <v>161</v>
      </c>
      <c r="U16" s="4" t="s">
        <v>161</v>
      </c>
      <c r="V16" s="4" t="s">
        <v>161</v>
      </c>
      <c r="W16" s="4" t="s">
        <v>65</v>
      </c>
      <c r="X16" s="4"/>
      <c r="Y16" s="4" t="s">
        <v>66</v>
      </c>
      <c r="Z16" s="4"/>
      <c r="AA16" s="4"/>
      <c r="AB16" s="4"/>
      <c r="AC16" s="4"/>
      <c r="AD16" s="4"/>
      <c r="AE16" s="4"/>
      <c r="AF16" s="4">
        <v>2</v>
      </c>
      <c r="AG16" s="4" t="s">
        <v>162</v>
      </c>
      <c r="AH16" s="4">
        <v>1</v>
      </c>
      <c r="AI16" s="4" t="s">
        <v>163</v>
      </c>
      <c r="AJ16" s="4">
        <v>1</v>
      </c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BA16" s="5">
        <v>410</v>
      </c>
      <c r="BB16" s="5">
        <v>40</v>
      </c>
      <c r="BC16" s="5">
        <v>450</v>
      </c>
      <c r="BD16" s="5">
        <v>600</v>
      </c>
      <c r="BF16" s="5">
        <v>450</v>
      </c>
      <c r="BG16" s="5">
        <v>450</v>
      </c>
      <c r="BI16" s="5">
        <v>40</v>
      </c>
      <c r="BJ16" s="5" t="s">
        <v>69</v>
      </c>
    </row>
    <row r="17" spans="1:63" s="5" customFormat="1">
      <c r="A17" s="4">
        <v>16</v>
      </c>
      <c r="B17" s="4">
        <v>5475956348</v>
      </c>
      <c r="C17" s="4"/>
      <c r="D17" s="4" t="s">
        <v>164</v>
      </c>
      <c r="E17" s="4" t="s">
        <v>152</v>
      </c>
      <c r="F17" s="4"/>
      <c r="G17" s="4" t="s">
        <v>57</v>
      </c>
      <c r="H17" s="4"/>
      <c r="I17" s="4"/>
      <c r="J17" s="4" t="s">
        <v>165</v>
      </c>
      <c r="K17" s="4"/>
      <c r="L17" s="4" t="s">
        <v>166</v>
      </c>
      <c r="M17" s="4" t="s">
        <v>167</v>
      </c>
      <c r="N17" s="4" t="s">
        <v>168</v>
      </c>
      <c r="O17" s="4" t="s">
        <v>169</v>
      </c>
      <c r="P17" s="4" t="s">
        <v>169</v>
      </c>
      <c r="Q17" s="4" t="s">
        <v>108</v>
      </c>
      <c r="R17" s="4" t="s">
        <v>108</v>
      </c>
      <c r="S17" s="4" t="s">
        <v>161</v>
      </c>
      <c r="T17" s="4" t="s">
        <v>161</v>
      </c>
      <c r="U17" s="4" t="s">
        <v>161</v>
      </c>
      <c r="V17" s="4" t="s">
        <v>161</v>
      </c>
      <c r="W17" s="4" t="s">
        <v>65</v>
      </c>
      <c r="X17" s="4"/>
      <c r="Y17" s="4" t="s">
        <v>66</v>
      </c>
      <c r="Z17" s="4" t="s">
        <v>170</v>
      </c>
      <c r="AA17" s="4"/>
      <c r="AB17" s="4"/>
      <c r="AC17" s="4"/>
      <c r="AD17" s="4"/>
      <c r="AE17" s="4"/>
      <c r="AF17" s="4">
        <v>1</v>
      </c>
      <c r="AG17" s="4" t="s">
        <v>138</v>
      </c>
      <c r="AH17" s="4">
        <v>1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BA17" s="5">
        <v>-339</v>
      </c>
      <c r="BB17" s="5">
        <v>40</v>
      </c>
      <c r="BC17" s="5">
        <v>-299</v>
      </c>
      <c r="BF17" s="5">
        <v>-299</v>
      </c>
      <c r="BG17" s="5">
        <v>-299</v>
      </c>
      <c r="BI17" s="5">
        <v>40</v>
      </c>
      <c r="BJ17" s="5" t="s">
        <v>69</v>
      </c>
    </row>
    <row r="18" spans="1:63" s="5" customFormat="1">
      <c r="A18" s="4">
        <v>17</v>
      </c>
      <c r="B18" s="4">
        <v>3493637647</v>
      </c>
      <c r="C18" s="4"/>
      <c r="D18" s="4" t="s">
        <v>171</v>
      </c>
      <c r="E18" s="4" t="s">
        <v>152</v>
      </c>
      <c r="F18" s="4"/>
      <c r="G18" s="4" t="s">
        <v>57</v>
      </c>
      <c r="H18" s="4">
        <v>300</v>
      </c>
      <c r="I18" s="4"/>
      <c r="J18" s="4" t="s">
        <v>58</v>
      </c>
      <c r="K18" s="4"/>
      <c r="L18" s="4" t="s">
        <v>172</v>
      </c>
      <c r="M18" s="4" t="s">
        <v>173</v>
      </c>
      <c r="N18" s="4" t="s">
        <v>174</v>
      </c>
      <c r="O18" s="4" t="s">
        <v>175</v>
      </c>
      <c r="P18" s="4"/>
      <c r="Q18" s="4" t="s">
        <v>108</v>
      </c>
      <c r="R18" s="4"/>
      <c r="S18" s="4" t="s">
        <v>161</v>
      </c>
      <c r="T18" s="4" t="s">
        <v>161</v>
      </c>
      <c r="U18" s="4" t="s">
        <v>161</v>
      </c>
      <c r="V18" s="4" t="s">
        <v>161</v>
      </c>
      <c r="W18" s="4" t="s">
        <v>65</v>
      </c>
      <c r="X18" s="4"/>
      <c r="Y18" s="4" t="s">
        <v>66</v>
      </c>
      <c r="Z18" s="4"/>
      <c r="AA18" s="4"/>
      <c r="AB18" s="4"/>
      <c r="AC18" s="4"/>
      <c r="AD18" s="4"/>
      <c r="AE18" s="4"/>
      <c r="AF18" s="4">
        <v>1</v>
      </c>
      <c r="AG18" s="4" t="s">
        <v>176</v>
      </c>
      <c r="AH18" s="4">
        <v>1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BA18" s="5">
        <v>235</v>
      </c>
      <c r="BB18" s="5">
        <v>35</v>
      </c>
      <c r="BC18" s="5">
        <v>270</v>
      </c>
      <c r="BD18" s="5">
        <v>300</v>
      </c>
      <c r="BF18" s="5">
        <v>270</v>
      </c>
      <c r="BG18" s="5">
        <v>270</v>
      </c>
      <c r="BI18" s="5">
        <v>35</v>
      </c>
      <c r="BJ18" s="5" t="s">
        <v>69</v>
      </c>
    </row>
    <row r="19" spans="1:63">
      <c r="A19" s="3">
        <v>18</v>
      </c>
      <c r="B19" s="3">
        <v>3457699348</v>
      </c>
      <c r="D19" s="3" t="s">
        <v>177</v>
      </c>
      <c r="E19" s="3" t="s">
        <v>56</v>
      </c>
      <c r="G19" s="3" t="s">
        <v>57</v>
      </c>
      <c r="H19" s="3">
        <v>600</v>
      </c>
      <c r="J19" s="3" t="s">
        <v>58</v>
      </c>
      <c r="L19" s="3" t="s">
        <v>59</v>
      </c>
      <c r="M19" s="3" t="s">
        <v>178</v>
      </c>
      <c r="N19" s="3" t="s">
        <v>179</v>
      </c>
      <c r="O19" s="3" t="s">
        <v>180</v>
      </c>
      <c r="P19" s="3" t="s">
        <v>180</v>
      </c>
      <c r="Q19" s="3" t="s">
        <v>108</v>
      </c>
      <c r="S19" s="3" t="s">
        <v>161</v>
      </c>
      <c r="T19" s="3" t="s">
        <v>161</v>
      </c>
      <c r="U19" s="3" t="s">
        <v>161</v>
      </c>
      <c r="V19" s="3" t="s">
        <v>161</v>
      </c>
      <c r="W19" s="3" t="s">
        <v>65</v>
      </c>
      <c r="Y19" s="3" t="s">
        <v>66</v>
      </c>
      <c r="AF19" s="3">
        <v>2</v>
      </c>
      <c r="AG19" s="3" t="s">
        <v>181</v>
      </c>
      <c r="AH19" s="3">
        <v>1</v>
      </c>
      <c r="AI19" s="3" t="s">
        <v>182</v>
      </c>
      <c r="AJ19" s="3">
        <v>1</v>
      </c>
      <c r="BA19">
        <v>660</v>
      </c>
      <c r="BB19">
        <v>40</v>
      </c>
      <c r="BC19">
        <v>700</v>
      </c>
      <c r="BD19">
        <v>600</v>
      </c>
      <c r="BF19">
        <v>700</v>
      </c>
      <c r="BG19">
        <v>700</v>
      </c>
      <c r="BI19">
        <v>40</v>
      </c>
      <c r="BJ19" t="s">
        <v>69</v>
      </c>
      <c r="BK19" t="s">
        <v>70</v>
      </c>
    </row>
    <row r="20" spans="1:63">
      <c r="A20" s="3">
        <v>19</v>
      </c>
      <c r="B20" s="3">
        <v>8467863745</v>
      </c>
      <c r="D20" s="3" t="s">
        <v>183</v>
      </c>
      <c r="E20" s="3" t="s">
        <v>56</v>
      </c>
      <c r="G20" s="3" t="s">
        <v>57</v>
      </c>
      <c r="H20" s="3">
        <v>600</v>
      </c>
      <c r="J20" s="3" t="s">
        <v>58</v>
      </c>
      <c r="L20" s="3" t="s">
        <v>96</v>
      </c>
      <c r="M20" s="3" t="s">
        <v>126</v>
      </c>
      <c r="N20" s="3" t="s">
        <v>184</v>
      </c>
      <c r="O20" s="3" t="s">
        <v>185</v>
      </c>
      <c r="P20" s="3" t="s">
        <v>185</v>
      </c>
      <c r="Q20" s="3" t="s">
        <v>108</v>
      </c>
      <c r="S20" s="3" t="s">
        <v>161</v>
      </c>
      <c r="T20" s="3" t="s">
        <v>161</v>
      </c>
      <c r="U20" s="3" t="s">
        <v>161</v>
      </c>
      <c r="V20" s="3" t="s">
        <v>161</v>
      </c>
      <c r="W20" s="3" t="s">
        <v>65</v>
      </c>
      <c r="Y20" s="3" t="s">
        <v>66</v>
      </c>
      <c r="AF20" s="3">
        <v>2</v>
      </c>
      <c r="AG20" s="3" t="s">
        <v>186</v>
      </c>
      <c r="AH20" s="3">
        <v>1</v>
      </c>
      <c r="AI20" s="3" t="s">
        <v>187</v>
      </c>
      <c r="AJ20" s="3">
        <v>1</v>
      </c>
      <c r="BA20">
        <v>615</v>
      </c>
      <c r="BB20">
        <v>35</v>
      </c>
      <c r="BC20">
        <v>650</v>
      </c>
      <c r="BD20">
        <v>600</v>
      </c>
      <c r="BF20">
        <v>650</v>
      </c>
      <c r="BG20">
        <v>650</v>
      </c>
      <c r="BI20">
        <v>35</v>
      </c>
      <c r="BJ20" t="s">
        <v>69</v>
      </c>
      <c r="BK20" t="s">
        <v>82</v>
      </c>
    </row>
    <row r="21" spans="1:63">
      <c r="A21" s="3">
        <v>20</v>
      </c>
      <c r="B21" s="3">
        <v>3493665347</v>
      </c>
      <c r="D21" s="3" t="s">
        <v>183</v>
      </c>
      <c r="E21" s="3" t="s">
        <v>56</v>
      </c>
      <c r="G21" s="3" t="s">
        <v>57</v>
      </c>
      <c r="H21" s="3">
        <v>600</v>
      </c>
      <c r="J21" s="3" t="s">
        <v>58</v>
      </c>
      <c r="L21" s="3" t="s">
        <v>59</v>
      </c>
      <c r="M21" s="3" t="s">
        <v>178</v>
      </c>
      <c r="N21" s="3" t="s">
        <v>188</v>
      </c>
      <c r="O21" s="3" t="s">
        <v>189</v>
      </c>
      <c r="P21" s="3" t="s">
        <v>189</v>
      </c>
      <c r="Q21" s="3" t="s">
        <v>190</v>
      </c>
      <c r="S21" s="3" t="s">
        <v>161</v>
      </c>
      <c r="T21" s="3" t="s">
        <v>161</v>
      </c>
      <c r="U21" s="3" t="s">
        <v>161</v>
      </c>
      <c r="V21" s="3" t="s">
        <v>161</v>
      </c>
      <c r="W21" s="3" t="s">
        <v>65</v>
      </c>
      <c r="Y21" s="3" t="s">
        <v>66</v>
      </c>
      <c r="AF21" s="3">
        <v>2</v>
      </c>
      <c r="AG21" s="3" t="s">
        <v>191</v>
      </c>
      <c r="AH21" s="3">
        <v>1</v>
      </c>
      <c r="AI21" s="3" t="s">
        <v>192</v>
      </c>
      <c r="AJ21" s="3">
        <v>1</v>
      </c>
      <c r="BA21">
        <v>610</v>
      </c>
      <c r="BB21">
        <v>40</v>
      </c>
      <c r="BC21">
        <v>650</v>
      </c>
      <c r="BD21">
        <v>600</v>
      </c>
      <c r="BF21">
        <v>650</v>
      </c>
      <c r="BG21">
        <v>650</v>
      </c>
      <c r="BI21">
        <v>40</v>
      </c>
      <c r="BJ21" t="s">
        <v>69</v>
      </c>
      <c r="BK21" t="s">
        <v>82</v>
      </c>
    </row>
    <row r="22" spans="1:63">
      <c r="A22" s="3">
        <v>21</v>
      </c>
      <c r="B22" s="3">
        <v>8467839945</v>
      </c>
      <c r="D22" s="3" t="s">
        <v>193</v>
      </c>
      <c r="E22" s="3" t="s">
        <v>56</v>
      </c>
      <c r="G22" s="3" t="s">
        <v>57</v>
      </c>
      <c r="H22" s="3">
        <v>600</v>
      </c>
      <c r="J22" s="3" t="s">
        <v>58</v>
      </c>
      <c r="L22" s="3" t="s">
        <v>59</v>
      </c>
      <c r="M22" s="3" t="s">
        <v>194</v>
      </c>
      <c r="N22" s="3" t="s">
        <v>195</v>
      </c>
      <c r="O22" s="3" t="s">
        <v>196</v>
      </c>
      <c r="P22" s="3" t="s">
        <v>196</v>
      </c>
      <c r="Q22" s="3" t="s">
        <v>190</v>
      </c>
      <c r="S22" s="3" t="s">
        <v>161</v>
      </c>
      <c r="T22" s="3" t="s">
        <v>161</v>
      </c>
      <c r="U22" s="3" t="s">
        <v>161</v>
      </c>
      <c r="V22" s="3" t="s">
        <v>161</v>
      </c>
      <c r="W22" s="3" t="s">
        <v>65</v>
      </c>
      <c r="Y22" s="3" t="s">
        <v>66</v>
      </c>
      <c r="AF22" s="3">
        <v>2</v>
      </c>
      <c r="AG22" s="3" t="s">
        <v>197</v>
      </c>
      <c r="AH22" s="3">
        <v>1</v>
      </c>
      <c r="AI22" s="3" t="s">
        <v>198</v>
      </c>
      <c r="AJ22" s="3">
        <v>1</v>
      </c>
      <c r="BA22">
        <v>610</v>
      </c>
      <c r="BB22">
        <v>40</v>
      </c>
      <c r="BC22">
        <v>650</v>
      </c>
      <c r="BD22">
        <v>600</v>
      </c>
      <c r="BF22">
        <v>650</v>
      </c>
      <c r="BG22">
        <v>650</v>
      </c>
      <c r="BI22">
        <v>40</v>
      </c>
      <c r="BJ22" t="s">
        <v>69</v>
      </c>
      <c r="BK22" t="s">
        <v>82</v>
      </c>
    </row>
    <row r="23" spans="1:63">
      <c r="A23" s="3">
        <v>22</v>
      </c>
      <c r="B23" s="3">
        <v>7488976645</v>
      </c>
      <c r="D23" s="3" t="s">
        <v>199</v>
      </c>
      <c r="E23" s="3" t="s">
        <v>56</v>
      </c>
      <c r="G23" s="3" t="s">
        <v>200</v>
      </c>
      <c r="H23" s="3">
        <v>700</v>
      </c>
      <c r="J23" s="3" t="s">
        <v>58</v>
      </c>
      <c r="L23" s="3" t="s">
        <v>59</v>
      </c>
      <c r="M23" s="3" t="s">
        <v>84</v>
      </c>
      <c r="N23" s="3" t="s">
        <v>201</v>
      </c>
      <c r="O23" s="3" t="s">
        <v>202</v>
      </c>
      <c r="Q23" s="3" t="s">
        <v>190</v>
      </c>
      <c r="S23" s="3" t="s">
        <v>161</v>
      </c>
      <c r="T23" s="3" t="s">
        <v>161</v>
      </c>
      <c r="U23" s="3" t="s">
        <v>161</v>
      </c>
      <c r="V23" s="3" t="s">
        <v>161</v>
      </c>
      <c r="W23" s="3" t="s">
        <v>65</v>
      </c>
      <c r="Y23" s="3" t="s">
        <v>66</v>
      </c>
      <c r="AF23" s="3">
        <v>2</v>
      </c>
      <c r="AG23" s="3" t="s">
        <v>203</v>
      </c>
      <c r="AH23" s="3">
        <v>1</v>
      </c>
      <c r="AI23" s="3" t="s">
        <v>204</v>
      </c>
      <c r="AJ23" s="3">
        <v>1</v>
      </c>
      <c r="BA23">
        <v>710</v>
      </c>
      <c r="BB23">
        <v>40</v>
      </c>
      <c r="BC23">
        <v>750</v>
      </c>
      <c r="BD23">
        <v>700</v>
      </c>
      <c r="BF23">
        <v>750</v>
      </c>
      <c r="BG23">
        <v>750</v>
      </c>
      <c r="BI23">
        <v>40</v>
      </c>
      <c r="BJ23" t="s">
        <v>69</v>
      </c>
      <c r="BK2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workbookViewId="0">
      <selection activeCell="E1" sqref="E1:H12"/>
    </sheetView>
  </sheetViews>
  <sheetFormatPr defaultRowHeight="15"/>
  <cols>
    <col min="1" max="1" width="23.85546875" style="3" bestFit="1" customWidth="1"/>
    <col min="2" max="2" width="33.85546875" style="3" bestFit="1" customWidth="1"/>
    <col min="3" max="3" width="14.28515625" style="3" bestFit="1" customWidth="1"/>
    <col min="5" max="5" width="33.85546875" style="3" bestFit="1" customWidth="1"/>
    <col min="6" max="6" width="9.85546875" bestFit="1" customWidth="1"/>
    <col min="7" max="7" width="11.5703125" bestFit="1" customWidth="1"/>
    <col min="8" max="8" width="15.5703125" bestFit="1" customWidth="1"/>
  </cols>
  <sheetData>
    <row r="1" spans="1:8" ht="18">
      <c r="A1" s="2" t="s">
        <v>31</v>
      </c>
      <c r="B1" s="2" t="s">
        <v>32</v>
      </c>
      <c r="C1" s="2" t="s">
        <v>33</v>
      </c>
      <c r="E1" s="30" t="s">
        <v>305</v>
      </c>
      <c r="F1" s="30"/>
      <c r="G1" s="30"/>
      <c r="H1" s="30"/>
    </row>
    <row r="2" spans="1:8" ht="18">
      <c r="A2" s="3">
        <v>2</v>
      </c>
      <c r="B2" s="3" t="s">
        <v>293</v>
      </c>
      <c r="C2" s="3">
        <v>1</v>
      </c>
      <c r="E2" s="2" t="s">
        <v>292</v>
      </c>
      <c r="F2" s="2" t="s">
        <v>303</v>
      </c>
      <c r="G2" s="2" t="s">
        <v>302</v>
      </c>
      <c r="H2" s="2" t="s">
        <v>304</v>
      </c>
    </row>
    <row r="3" spans="1:8">
      <c r="A3" s="3">
        <v>3</v>
      </c>
      <c r="B3" s="3" t="s">
        <v>294</v>
      </c>
      <c r="C3" s="3">
        <v>1</v>
      </c>
      <c r="E3" s="3" t="s">
        <v>293</v>
      </c>
      <c r="F3">
        <f>SUMIFS(C:C,B:B,E3)</f>
        <v>5</v>
      </c>
      <c r="G3">
        <v>155</v>
      </c>
      <c r="H3">
        <f>F3*G3</f>
        <v>775</v>
      </c>
    </row>
    <row r="4" spans="1:8">
      <c r="A4" s="3">
        <v>2</v>
      </c>
      <c r="B4" s="3" t="s">
        <v>295</v>
      </c>
      <c r="C4" s="3">
        <v>1</v>
      </c>
      <c r="E4" s="3" t="s">
        <v>294</v>
      </c>
      <c r="F4">
        <f t="shared" ref="F4:F11" si="0">SUMIFS(C:C,B:B,E4)</f>
        <v>12</v>
      </c>
      <c r="G4">
        <v>170</v>
      </c>
      <c r="H4">
        <f t="shared" ref="H4:H11" si="1">F4*G4</f>
        <v>2040</v>
      </c>
    </row>
    <row r="5" spans="1:8">
      <c r="A5" s="3">
        <v>1</v>
      </c>
      <c r="B5" s="3" t="s">
        <v>293</v>
      </c>
      <c r="C5" s="3">
        <v>1</v>
      </c>
      <c r="E5" s="3" t="s">
        <v>295</v>
      </c>
      <c r="F5">
        <f t="shared" si="0"/>
        <v>4</v>
      </c>
      <c r="G5">
        <v>170</v>
      </c>
      <c r="H5">
        <f t="shared" si="1"/>
        <v>680</v>
      </c>
    </row>
    <row r="6" spans="1:8">
      <c r="A6" s="3">
        <v>3</v>
      </c>
      <c r="B6" s="3" t="s">
        <v>296</v>
      </c>
      <c r="C6" s="3">
        <v>1</v>
      </c>
      <c r="E6" s="3" t="s">
        <v>296</v>
      </c>
      <c r="F6">
        <f t="shared" si="0"/>
        <v>4</v>
      </c>
      <c r="G6">
        <v>180</v>
      </c>
      <c r="H6">
        <f t="shared" si="1"/>
        <v>720</v>
      </c>
    </row>
    <row r="7" spans="1:8">
      <c r="A7" s="3">
        <v>3</v>
      </c>
      <c r="B7" s="3" t="s">
        <v>297</v>
      </c>
      <c r="C7" s="3">
        <v>1</v>
      </c>
      <c r="E7" s="3" t="s">
        <v>297</v>
      </c>
      <c r="F7">
        <f t="shared" si="0"/>
        <v>3</v>
      </c>
      <c r="G7">
        <v>165</v>
      </c>
      <c r="H7">
        <f t="shared" si="1"/>
        <v>495</v>
      </c>
    </row>
    <row r="8" spans="1:8">
      <c r="A8" s="3">
        <v>2</v>
      </c>
      <c r="B8" s="3" t="s">
        <v>294</v>
      </c>
      <c r="C8" s="3">
        <v>1</v>
      </c>
      <c r="E8" s="3" t="s">
        <v>298</v>
      </c>
      <c r="F8">
        <f t="shared" si="0"/>
        <v>2</v>
      </c>
      <c r="G8">
        <v>185</v>
      </c>
      <c r="H8">
        <f t="shared" si="1"/>
        <v>370</v>
      </c>
    </row>
    <row r="9" spans="1:8">
      <c r="A9" s="3">
        <v>2</v>
      </c>
      <c r="B9" s="3" t="s">
        <v>298</v>
      </c>
      <c r="C9" s="3">
        <v>1</v>
      </c>
      <c r="E9" s="3" t="s">
        <v>299</v>
      </c>
      <c r="F9">
        <f t="shared" si="0"/>
        <v>4</v>
      </c>
      <c r="G9">
        <v>180</v>
      </c>
      <c r="H9">
        <f t="shared" si="1"/>
        <v>720</v>
      </c>
    </row>
    <row r="10" spans="1:8">
      <c r="A10" s="3">
        <v>2</v>
      </c>
      <c r="B10" s="3" t="s">
        <v>294</v>
      </c>
      <c r="C10" s="3">
        <v>1</v>
      </c>
      <c r="E10" s="3" t="s">
        <v>300</v>
      </c>
      <c r="F10">
        <f t="shared" si="0"/>
        <v>2</v>
      </c>
      <c r="G10">
        <v>155</v>
      </c>
      <c r="H10">
        <f t="shared" si="1"/>
        <v>310</v>
      </c>
    </row>
    <row r="11" spans="1:8">
      <c r="A11" s="3">
        <v>2</v>
      </c>
      <c r="B11" s="3" t="s">
        <v>294</v>
      </c>
      <c r="C11" s="3">
        <v>1</v>
      </c>
      <c r="E11" s="3" t="s">
        <v>301</v>
      </c>
      <c r="F11">
        <f t="shared" si="0"/>
        <v>1</v>
      </c>
      <c r="G11">
        <v>170</v>
      </c>
      <c r="H11">
        <f t="shared" si="1"/>
        <v>170</v>
      </c>
    </row>
    <row r="12" spans="1:8" ht="18.75">
      <c r="A12" s="3">
        <v>2</v>
      </c>
      <c r="B12" s="3" t="s">
        <v>293</v>
      </c>
      <c r="C12" s="3">
        <v>1</v>
      </c>
      <c r="E12"/>
      <c r="F12" s="29">
        <f>SUM(F3:F11)</f>
        <v>37</v>
      </c>
      <c r="H12" s="29">
        <f>SUM(H3:H11)</f>
        <v>6280</v>
      </c>
    </row>
    <row r="13" spans="1:8">
      <c r="A13" s="3">
        <v>2</v>
      </c>
      <c r="B13" s="3" t="s">
        <v>294</v>
      </c>
      <c r="C13" s="3">
        <v>1</v>
      </c>
      <c r="E13"/>
    </row>
    <row r="14" spans="1:8">
      <c r="A14" s="3">
        <v>1</v>
      </c>
      <c r="B14" s="3" t="s">
        <v>295</v>
      </c>
      <c r="C14" s="3">
        <v>1</v>
      </c>
      <c r="E14"/>
    </row>
    <row r="15" spans="1:8">
      <c r="A15" s="3">
        <v>2</v>
      </c>
      <c r="B15" s="3" t="s">
        <v>299</v>
      </c>
      <c r="C15" s="3">
        <v>1</v>
      </c>
      <c r="E15"/>
    </row>
    <row r="16" spans="1:8">
      <c r="A16" s="3">
        <v>2</v>
      </c>
      <c r="B16" s="3" t="s">
        <v>295</v>
      </c>
      <c r="C16" s="3">
        <v>1</v>
      </c>
      <c r="E16"/>
    </row>
    <row r="17" spans="1:5">
      <c r="A17" s="3">
        <v>2</v>
      </c>
      <c r="B17" s="3" t="s">
        <v>299</v>
      </c>
      <c r="C17" s="3">
        <v>1</v>
      </c>
      <c r="E17"/>
    </row>
    <row r="18" spans="1:5">
      <c r="A18" s="3">
        <v>2</v>
      </c>
      <c r="B18" s="3" t="s">
        <v>300</v>
      </c>
      <c r="C18" s="3">
        <v>1</v>
      </c>
      <c r="E18"/>
    </row>
    <row r="19" spans="1:5">
      <c r="A19" s="3">
        <v>2</v>
      </c>
      <c r="B19" s="3" t="s">
        <v>296</v>
      </c>
      <c r="C19" s="3">
        <v>1</v>
      </c>
      <c r="E19"/>
    </row>
    <row r="20" spans="1:5">
      <c r="B20" s="3" t="s">
        <v>293</v>
      </c>
      <c r="C20" s="3">
        <v>1</v>
      </c>
      <c r="E20"/>
    </row>
    <row r="21" spans="1:5">
      <c r="B21" s="3" t="s">
        <v>294</v>
      </c>
      <c r="C21" s="3">
        <v>1</v>
      </c>
      <c r="E21"/>
    </row>
    <row r="22" spans="1:5">
      <c r="B22" s="3" t="s">
        <v>294</v>
      </c>
      <c r="C22" s="3">
        <v>1</v>
      </c>
      <c r="E22"/>
    </row>
    <row r="23" spans="1:5">
      <c r="B23" s="3" t="s">
        <v>296</v>
      </c>
      <c r="C23" s="3">
        <v>1</v>
      </c>
      <c r="E23"/>
    </row>
    <row r="24" spans="1:5">
      <c r="B24" s="3" t="s">
        <v>297</v>
      </c>
      <c r="C24" s="3">
        <v>1</v>
      </c>
      <c r="E24"/>
    </row>
    <row r="25" spans="1:5">
      <c r="B25" s="3" t="s">
        <v>294</v>
      </c>
      <c r="C25" s="3">
        <v>1</v>
      </c>
      <c r="E25"/>
    </row>
    <row r="26" spans="1:5">
      <c r="B26" s="3" t="s">
        <v>298</v>
      </c>
      <c r="C26" s="3">
        <v>1</v>
      </c>
      <c r="E26"/>
    </row>
    <row r="27" spans="1:5">
      <c r="B27" s="3" t="s">
        <v>294</v>
      </c>
      <c r="C27" s="3">
        <v>1</v>
      </c>
      <c r="E27"/>
    </row>
    <row r="28" spans="1:5">
      <c r="B28" s="3" t="s">
        <v>294</v>
      </c>
      <c r="C28" s="3">
        <v>1</v>
      </c>
      <c r="E28"/>
    </row>
    <row r="29" spans="1:5">
      <c r="B29" s="3" t="s">
        <v>293</v>
      </c>
      <c r="C29" s="3">
        <v>1</v>
      </c>
      <c r="E29"/>
    </row>
    <row r="30" spans="1:5">
      <c r="B30" s="3" t="s">
        <v>294</v>
      </c>
      <c r="C30" s="3">
        <v>1</v>
      </c>
      <c r="E30"/>
    </row>
    <row r="31" spans="1:5">
      <c r="B31" s="3" t="s">
        <v>299</v>
      </c>
      <c r="C31" s="3">
        <v>1</v>
      </c>
      <c r="E31"/>
    </row>
    <row r="32" spans="1:5">
      <c r="B32" s="3" t="s">
        <v>295</v>
      </c>
      <c r="C32" s="3">
        <v>1</v>
      </c>
      <c r="E32"/>
    </row>
    <row r="33" spans="2:5">
      <c r="B33" s="3" t="s">
        <v>299</v>
      </c>
      <c r="C33" s="3">
        <v>1</v>
      </c>
      <c r="E33"/>
    </row>
    <row r="34" spans="2:5">
      <c r="B34" s="3" t="s">
        <v>300</v>
      </c>
      <c r="C34" s="3">
        <v>1</v>
      </c>
      <c r="E34"/>
    </row>
    <row r="35" spans="2:5">
      <c r="B35" s="3" t="s">
        <v>301</v>
      </c>
      <c r="C35" s="3">
        <v>1</v>
      </c>
      <c r="E35"/>
    </row>
    <row r="36" spans="2:5">
      <c r="B36" s="3" t="s">
        <v>294</v>
      </c>
      <c r="C36" s="3">
        <v>1</v>
      </c>
      <c r="E36"/>
    </row>
    <row r="37" spans="2:5">
      <c r="B37" s="3" t="s">
        <v>296</v>
      </c>
      <c r="C37" s="3">
        <v>1</v>
      </c>
      <c r="E37"/>
    </row>
    <row r="38" spans="2:5">
      <c r="B38" s="3" t="s">
        <v>297</v>
      </c>
      <c r="C38" s="3">
        <v>1</v>
      </c>
      <c r="E38"/>
    </row>
    <row r="39" spans="2:5">
      <c r="E39"/>
    </row>
  </sheetData>
  <mergeCells count="1"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من شركة الشحن</vt:lpstr>
      <vt:lpstr>اوردرات تسليم</vt:lpstr>
      <vt:lpstr>قطع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ENG-Amira</cp:lastModifiedBy>
  <dcterms:created xsi:type="dcterms:W3CDTF">2025-12-16T12:40:52Z</dcterms:created>
  <dcterms:modified xsi:type="dcterms:W3CDTF">2025-12-16T12:52:35Z</dcterms:modified>
</cp:coreProperties>
</file>