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55" windowWidth="19815" windowHeight="9150" activeTab="1"/>
  </bookViews>
  <sheets>
    <sheet name="Cash Cycles" sheetId="1" r:id="rId1"/>
    <sheet name="Sheet1" sheetId="2" r:id="rId2"/>
  </sheets>
  <definedNames>
    <definedName name="_xlnm._FilterDatabase" localSheetId="0" hidden="1">'Cash Cycles'!$G$1:$G$41</definedName>
    <definedName name="_xlnm._FilterDatabase" localSheetId="1" hidden="1">Sheet1!$F$1:$F$32</definedName>
  </definedNames>
  <calcPr calcId="144525"/>
</workbook>
</file>

<file path=xl/calcChain.xml><?xml version="1.0" encoding="utf-8"?>
<calcChain xmlns="http://schemas.openxmlformats.org/spreadsheetml/2006/main">
  <c r="L6" i="2" l="1"/>
  <c r="N4" i="2"/>
  <c r="N5" i="2"/>
  <c r="N3" i="2"/>
  <c r="I32" i="2"/>
  <c r="H32" i="2"/>
  <c r="G32" i="2"/>
  <c r="N6" i="2" l="1"/>
</calcChain>
</file>

<file path=xl/sharedStrings.xml><?xml version="1.0" encoding="utf-8"?>
<sst xmlns="http://schemas.openxmlformats.org/spreadsheetml/2006/main" count="1117" uniqueCount="263">
  <si>
    <t>Business ID</t>
  </si>
  <si>
    <t>Business Name</t>
  </si>
  <si>
    <t>Order Id</t>
  </si>
  <si>
    <t>Order Type</t>
  </si>
  <si>
    <t>Package size</t>
  </si>
  <si>
    <t>Order Status</t>
  </si>
  <si>
    <t>Order Reference</t>
  </si>
  <si>
    <t>Package Description</t>
  </si>
  <si>
    <t>Customer Name</t>
  </si>
  <si>
    <t>Customer Phone</t>
  </si>
  <si>
    <t>Completed At</t>
  </si>
  <si>
    <t>Confirmed At</t>
  </si>
  <si>
    <t>Pickup City</t>
  </si>
  <si>
    <t>Dropoff City</t>
  </si>
  <si>
    <t>COD</t>
  </si>
  <si>
    <t>Online Payment Amount</t>
  </si>
  <si>
    <t>Shipping Fees</t>
  </si>
  <si>
    <t>Insurance Fees</t>
  </si>
  <si>
    <t>Collection Fees</t>
  </si>
  <si>
    <t>Next Day Transfer Fees</t>
  </si>
  <si>
    <t>0 COD Discount</t>
  </si>
  <si>
    <t>Promotion Discount</t>
  </si>
  <si>
    <t>POS Fees</t>
  </si>
  <si>
    <t>COD Fees</t>
  </si>
  <si>
    <t>Fulfillment Fees</t>
  </si>
  <si>
    <t>VAT</t>
  </si>
  <si>
    <t>Bosta Credits</t>
  </si>
  <si>
    <t>Opening Package Fees</t>
  </si>
  <si>
    <t>Flex Ship Fees</t>
  </si>
  <si>
    <t>Flex Ship Amount</t>
  </si>
  <si>
    <t>Total Fees</t>
  </si>
  <si>
    <t>Net Value</t>
  </si>
  <si>
    <t>Payment Status</t>
  </si>
  <si>
    <t>Paid At</t>
  </si>
  <si>
    <t>Cash-out ID</t>
  </si>
  <si>
    <t>KqZGUgmoPLcpQWvEtXpQH</t>
  </si>
  <si>
    <t>mazzboot</t>
  </si>
  <si>
    <t>27368832</t>
  </si>
  <si>
    <t>SEND</t>
  </si>
  <si>
    <t>Normal</t>
  </si>
  <si>
    <t>DELIVERED</t>
  </si>
  <si>
    <t>bos-1044407</t>
  </si>
  <si>
    <t>فلات فانس شبكي الاسود 43 - SKU : vanbl43 - Count: 1 , فلات فانس شبكي رمادي 43 - SKU : vangr43 - Count: 1 , فلات فانس شبكي كحلي 43 - SKU : vanbd43 - Count: 1 ,</t>
  </si>
  <si>
    <t>محمد احمد -</t>
  </si>
  <si>
    <t>+201152050763</t>
  </si>
  <si>
    <t>El Kalioubia</t>
  </si>
  <si>
    <t>Giza</t>
  </si>
  <si>
    <t>50.00</t>
  </si>
  <si>
    <t>0.00</t>
  </si>
  <si>
    <t>7.00</t>
  </si>
  <si>
    <t>Paid</t>
  </si>
  <si>
    <t>TUECOD09DEC25</t>
  </si>
  <si>
    <t>29048157</t>
  </si>
  <si>
    <t>now-1039971</t>
  </si>
  <si>
    <t>كوتشي حريمي Mk06 (Nowshoes) اسود*رمادي 39 - SKU : mnpr871-8 - Count: 1 ,</t>
  </si>
  <si>
    <t>خلود مجدي -</t>
  </si>
  <si>
    <t>+201017048184</t>
  </si>
  <si>
    <t>Dakahlia</t>
  </si>
  <si>
    <t>60.00</t>
  </si>
  <si>
    <t>8.40</t>
  </si>
  <si>
    <t>78568093</t>
  </si>
  <si>
    <t>bos-1047132</t>
  </si>
  <si>
    <t>فيست ووتر بروف ضد المطر - R نبيتي XL - SKU : Mnpr1040-17 - Count: 1 ,</t>
  </si>
  <si>
    <t>مجدي سيد -</t>
  </si>
  <si>
    <t>+201024321252</t>
  </si>
  <si>
    <t>Cairo</t>
  </si>
  <si>
    <t>24221583</t>
  </si>
  <si>
    <t>bos-1047001</t>
  </si>
  <si>
    <t>طقم اديداس 3 قطع ابيض 3xl - SKU : mnpr511-8 - Count: 1 ,</t>
  </si>
  <si>
    <t>محمد عبدالحميد -</t>
  </si>
  <si>
    <t>+201282973728</t>
  </si>
  <si>
    <t>Alexandria</t>
  </si>
  <si>
    <t>54.00</t>
  </si>
  <si>
    <t>7.56</t>
  </si>
  <si>
    <t>86728804</t>
  </si>
  <si>
    <t>bos-1045905</t>
  </si>
  <si>
    <t>فيست ووتر بروف ضد المطر - R نبيتي 4xl - SKU : Mnpr1040-20 - Count: 1 ,</t>
  </si>
  <si>
    <t>Ahmed rezk -</t>
  </si>
  <si>
    <t>+201005839297</t>
  </si>
  <si>
    <t>21830277</t>
  </si>
  <si>
    <t>now-1042497</t>
  </si>
  <si>
    <t>كوتشي حريمي MKF-02 (Nowshoes) رمادي 39 - SKU : mnpr872-13 - Count: 1 ,</t>
  </si>
  <si>
    <t>ايه عبدالرؤوف -</t>
  </si>
  <si>
    <t>+201091074777</t>
  </si>
  <si>
    <t>Luxor</t>
  </si>
  <si>
    <t>81.00</t>
  </si>
  <si>
    <t>11.34</t>
  </si>
  <si>
    <t>43885720</t>
  </si>
  <si>
    <t>bos-1046170</t>
  </si>
  <si>
    <t>عرض زيت روزمارى + فرشاة تدليك زيت روزماري+فرشاة موحد - SKU : Mnpr1049-1 - Count: 1 ,</t>
  </si>
  <si>
    <t>محمد فوزي -</t>
  </si>
  <si>
    <t>+201112938556</t>
  </si>
  <si>
    <t>12481742</t>
  </si>
  <si>
    <t>bos-1045572</t>
  </si>
  <si>
    <t>فلات فانس شبكي الاسود 45 - SKU : vanbl45 - Count: 1 , فلات فانس شبكي كحلي 45 - SKU : vanbd45 - Count: 1 , فلات فانس شبكي رمادي 45 - SKU : vangr45 - Count: 1 ,</t>
  </si>
  <si>
    <t>محمد عبدالرحيم -</t>
  </si>
  <si>
    <t>+201152672152</t>
  </si>
  <si>
    <t>10349322</t>
  </si>
  <si>
    <t>bos-1047139</t>
  </si>
  <si>
    <t>باندل 3 هايكول رجالي اسود-ابيض-رصاصي ONE SIZE - SKU : Mnpr1025-1 - Count: 1 ,</t>
  </si>
  <si>
    <t>صدام محمد -</t>
  </si>
  <si>
    <t>+201508813854</t>
  </si>
  <si>
    <t>38315348</t>
  </si>
  <si>
    <t>bos-1045934</t>
  </si>
  <si>
    <t>فيست ووتر بروف ضد المطر - R اسود 2xl - SKU : Mnpr1040-3 - Count: 1 , فيست ووتر بروف ضد المطر - R رصاصي فاتح 2xl - SKU : Mnpr1040-28 - Count: 1 ,</t>
  </si>
  <si>
    <t>محمد محمد -</t>
  </si>
  <si>
    <t>+201223520812</t>
  </si>
  <si>
    <t>66231164</t>
  </si>
  <si>
    <t>now-1047529</t>
  </si>
  <si>
    <t>كوتشي حريمي Mk06 (Nowshoes) رمادي 41 - SKU : mnpr871-5 - Count: 1 ,</t>
  </si>
  <si>
    <t>منه عبدة -</t>
  </si>
  <si>
    <t>+201227432848</t>
  </si>
  <si>
    <t>62898016</t>
  </si>
  <si>
    <t>now-1045945</t>
  </si>
  <si>
    <t>Aya Elfiky -</t>
  </si>
  <si>
    <t>+201000181429</t>
  </si>
  <si>
    <t>50336947</t>
  </si>
  <si>
    <t>bos-1046515</t>
  </si>
  <si>
    <t>فيست ووتر بروف ضد المطر - R كحلي L - SKU : Mnpr1040-6 - Count: 1 ,</t>
  </si>
  <si>
    <t>احمد سامى -</t>
  </si>
  <si>
    <t>+201010761540</t>
  </si>
  <si>
    <t>71599579</t>
  </si>
  <si>
    <t>now-1045669</t>
  </si>
  <si>
    <t>كوتشي حريمي MKF-02 (Nowshoes) ابيض 38 - SKU : mnpr872-7 - Count: 1 ,</t>
  </si>
  <si>
    <t>اية محمود -</t>
  </si>
  <si>
    <t>+201010454695</t>
  </si>
  <si>
    <t>Sharqia</t>
  </si>
  <si>
    <t>14580557</t>
  </si>
  <si>
    <t>now-1045984</t>
  </si>
  <si>
    <t>كوتشي حريمي MKF-02 (Nowshoes) ابيض 37 - SKU : mnpr872-6 - Count: 1 ,</t>
  </si>
  <si>
    <t>شروق محسن -</t>
  </si>
  <si>
    <t>+201096939864</t>
  </si>
  <si>
    <t>28622872</t>
  </si>
  <si>
    <t>now-1047520</t>
  </si>
  <si>
    <t>كوتشي حريمي MKF-02 (Nowshoes) ابيض 40 - SKU : mnpr872-9 - Count: 1 , كوتشي حريمي MKF-02 (Nowshoes) الاسود 40 - SKU : mnpr872-4 - Count: 1 ,</t>
  </si>
  <si>
    <t>Heba Fouda -</t>
  </si>
  <si>
    <t>+201004082067</t>
  </si>
  <si>
    <t>43298930</t>
  </si>
  <si>
    <t>now-1049118</t>
  </si>
  <si>
    <t>فاطمه محمد عبد الرؤف محمد -</t>
  </si>
  <si>
    <t>+201018616953</t>
  </si>
  <si>
    <t>76110199</t>
  </si>
  <si>
    <t>bos-1047043</t>
  </si>
  <si>
    <t>فلات فانس شبكي الاسود 46 - SKU : vanbl46 - Count: 1 , فلات فانس شبكي كحلي 46 - SKU : vanbd46 - Count: 1 , فلات فانس شبكي رمادي 46 - SKU : vangr46 - Count: 1 ,</t>
  </si>
  <si>
    <t>عبدالرحمن حسين -</t>
  </si>
  <si>
    <t>+201030836341</t>
  </si>
  <si>
    <t>31828699</t>
  </si>
  <si>
    <t>now-1047530</t>
  </si>
  <si>
    <t>كوتشي حريمي MKF-02 (Nowshoes) الاسود 41 - SKU : mnpr872-5 - Count: 1 ,</t>
  </si>
  <si>
    <t>ساره محجوب -</t>
  </si>
  <si>
    <t>+201558738741</t>
  </si>
  <si>
    <t>62267636</t>
  </si>
  <si>
    <t>now-1045936</t>
  </si>
  <si>
    <t>كوتشي حريمي MKF-02 (Nowshoes) الاسود 39 - SKU : mnpr872-3 - Count: 1 ,</t>
  </si>
  <si>
    <t>ليلي احمد القناوي -</t>
  </si>
  <si>
    <t>+201272255034</t>
  </si>
  <si>
    <t>70998600</t>
  </si>
  <si>
    <t>now-1049287</t>
  </si>
  <si>
    <t>حنان أحمد -</t>
  </si>
  <si>
    <t>+201141663131</t>
  </si>
  <si>
    <t>44949866</t>
  </si>
  <si>
    <t>now-1048518</t>
  </si>
  <si>
    <t>كوتشي رجالي HK02 الاسود 44 - SKU : Mnpr1013-4 - Count: 1 , كوتشي رجالي HK02 رمادي 44 - SKU : Mnpr1013-14 - Count: 1 , كوتشي رجالي HK02 ابيض 44 - SKU : Mnpr1013-9 - Count: 1 ,</t>
  </si>
  <si>
    <t>محمد احمد . -</t>
  </si>
  <si>
    <t>+201550176972</t>
  </si>
  <si>
    <t>18344259</t>
  </si>
  <si>
    <t>now-1045941</t>
  </si>
  <si>
    <t>كوتشي حريمي MKF-02 (Nowshoes) ابيض 39 - SKU : mnpr872-8 - Count: 1 ,</t>
  </si>
  <si>
    <t>ملاذ صلاح -</t>
  </si>
  <si>
    <t>+201001658386</t>
  </si>
  <si>
    <t>39132064</t>
  </si>
  <si>
    <t>now-1048369</t>
  </si>
  <si>
    <t>كوتشي حريمي Mk06 (Nowshoes) رمادي 41 - SKU : mnpr871-5 - Count: 1 , كوتشي حريمي MKF-02 (Nowshoes) ابيض 41 - SKU : mnpr872-10 - Count: 1 ,</t>
  </si>
  <si>
    <t>منيره عدلي -</t>
  </si>
  <si>
    <t>+201500154463</t>
  </si>
  <si>
    <t>74119003</t>
  </si>
  <si>
    <t>now-1045665</t>
  </si>
  <si>
    <t>Hoda Ragab -</t>
  </si>
  <si>
    <t>+201114967319</t>
  </si>
  <si>
    <t>Suez</t>
  </si>
  <si>
    <t>23313543</t>
  </si>
  <si>
    <t>now-1046384</t>
  </si>
  <si>
    <t>كوتشي حريمي Mk06 (Nowshoes) رمادي 40 - SKU : mnpr871-4 - Count: 1 ,</t>
  </si>
  <si>
    <t>Dalia alaa -</t>
  </si>
  <si>
    <t>+201023013313</t>
  </si>
  <si>
    <t>66182741</t>
  </si>
  <si>
    <t>now-1045471</t>
  </si>
  <si>
    <t>كوتشي حريمي Mk06 (Nowshoes) اسود*بينك 39 - SKU : mnpr871-13 - Count: 1 ,</t>
  </si>
  <si>
    <t>هبه مصطفي -</t>
  </si>
  <si>
    <t>+201125980007</t>
  </si>
  <si>
    <t>65005183</t>
  </si>
  <si>
    <t>now-1046250</t>
  </si>
  <si>
    <t>كوتشي رجالي HK02 ابيض 45 - SKU : Mnpr1013-10 - Count: 1 , كوتشي رجالي HK02 الاسود 43 - SKU : Mnpr1013-3 - Count: 1 , كوتشي رجالي HK02 رمادي 43 - SKU : Mnpr1013-13 - Count: 1 ,</t>
  </si>
  <si>
    <t>حسان احمد -</t>
  </si>
  <si>
    <t>+201019087867</t>
  </si>
  <si>
    <t>Red Sea</t>
  </si>
  <si>
    <t>47158463</t>
  </si>
  <si>
    <t>now-1048608</t>
  </si>
  <si>
    <t>كوتشي حريمي MKF-02 (Nowshoes) رمادي 38 - SKU : mnpr872-12 - Count: 1 ,</t>
  </si>
  <si>
    <t>يوسف محسن -</t>
  </si>
  <si>
    <t>+201010729792</t>
  </si>
  <si>
    <t>58110613</t>
  </si>
  <si>
    <t>now-1045946</t>
  </si>
  <si>
    <t>كوتشي حريمي MKF-02 (Nowshoes) ابيض 41 - SKU : mnpr872-10 - Count: 1 ,</t>
  </si>
  <si>
    <t>رأفت محمد السيد ريم -</t>
  </si>
  <si>
    <t>+201093405550</t>
  </si>
  <si>
    <t>33521851</t>
  </si>
  <si>
    <t>now-1047854</t>
  </si>
  <si>
    <t>Nadeen waleed -</t>
  </si>
  <si>
    <t>+201019166293</t>
  </si>
  <si>
    <t>57503376</t>
  </si>
  <si>
    <t>now-1047853</t>
  </si>
  <si>
    <t>كوثر محمد عمر -</t>
  </si>
  <si>
    <t>+201148810849</t>
  </si>
  <si>
    <t>33058118</t>
  </si>
  <si>
    <t>now-1047089</t>
  </si>
  <si>
    <t>نيللي عبد الحميد -</t>
  </si>
  <si>
    <t>+201151940515</t>
  </si>
  <si>
    <t>85578200</t>
  </si>
  <si>
    <t>now-1045953</t>
  </si>
  <si>
    <t>محمد عبداللطيف -</t>
  </si>
  <si>
    <t>+201008004480</t>
  </si>
  <si>
    <t>53435624</t>
  </si>
  <si>
    <t>now-1045992</t>
  </si>
  <si>
    <t>نانسي نور -</t>
  </si>
  <si>
    <t>+201005606621</t>
  </si>
  <si>
    <t>66628584</t>
  </si>
  <si>
    <t>now-1048273</t>
  </si>
  <si>
    <t>كوتشي حريمي MKF-02 (Nowshoes) رمادي 40 - SKU : mnpr872-14 - Count: 1 ,</t>
  </si>
  <si>
    <t>Habiba Mohsen -</t>
  </si>
  <si>
    <t>+201279548580</t>
  </si>
  <si>
    <t>20867088</t>
  </si>
  <si>
    <t>now-1046223</t>
  </si>
  <si>
    <t>كوتشي حريمي MKF-02 (Nowshoes) ابيض 40 - SKU : mnpr872-9 - Count: 1 ,</t>
  </si>
  <si>
    <t>Gihan Waled -</t>
  </si>
  <si>
    <t>+201040800792</t>
  </si>
  <si>
    <t>Damietta</t>
  </si>
  <si>
    <t>87606978</t>
  </si>
  <si>
    <t>now-1045736</t>
  </si>
  <si>
    <t>كوتشي حريمي MKF-02 (Nowshoes) رمادي 41 - SKU : mnpr872-15 - Count: 1 ,</t>
  </si>
  <si>
    <t>فاطمه كامل -</t>
  </si>
  <si>
    <t>+201118330282</t>
  </si>
  <si>
    <t>31966015</t>
  </si>
  <si>
    <t>now-1047099</t>
  </si>
  <si>
    <t>علاء حسب النبي -</t>
  </si>
  <si>
    <t>+201093997925</t>
  </si>
  <si>
    <t>Monufia</t>
  </si>
  <si>
    <t>50084165</t>
  </si>
  <si>
    <t>now-1045409</t>
  </si>
  <si>
    <t>Enas Elhany Qurashi Abbas Elhany -</t>
  </si>
  <si>
    <t>+201111740798</t>
  </si>
  <si>
    <t>Assuit</t>
  </si>
  <si>
    <t>71.00</t>
  </si>
  <si>
    <t>9.94</t>
  </si>
  <si>
    <t>MK06</t>
  </si>
  <si>
    <t>موديلات</t>
  </si>
  <si>
    <t>MKF02</t>
  </si>
  <si>
    <t>HK02</t>
  </si>
  <si>
    <t>الموديل</t>
  </si>
  <si>
    <t>عدد القطع</t>
  </si>
  <si>
    <t>سعر التوريد</t>
  </si>
  <si>
    <t>استحقاق المصنع</t>
  </si>
  <si>
    <t>قطع تسليم بوسطة من توريد يوم الثلاثاء 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</si>
</sst>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  <xf numFmtId="0" fontId="2" fillId="0" borderId="1" xfId="0" applyNumberFormat="1" applyFont="1" applyBorder="1"/>
    <xf numFmtId="0" fontId="3" fillId="0" borderId="1" xfId="1" applyFont="1" applyBorder="1" applyAlignment="1">
      <alignment horizontal="center"/>
    </xf>
    <xf numFmtId="0" fontId="4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41"/>
  <sheetViews>
    <sheetView topLeftCell="R1" workbookViewId="0">
      <selection activeCell="AF1" sqref="AF1:AF1048576"/>
    </sheetView>
  </sheetViews>
  <sheetFormatPr defaultRowHeight="15" x14ac:dyDescent="0.25"/>
  <cols>
    <col min="7" max="7" width="20" customWidth="1"/>
  </cols>
  <sheetData>
    <row r="1" spans="1:3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7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1">
        <v>45995.40382068287</v>
      </c>
      <c r="L2" s="1">
        <v>45997.296657754632</v>
      </c>
      <c r="M2" t="s">
        <v>45</v>
      </c>
      <c r="N2" t="s">
        <v>46</v>
      </c>
      <c r="O2">
        <v>380</v>
      </c>
      <c r="P2">
        <v>0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49</v>
      </c>
      <c r="AA2">
        <v>0</v>
      </c>
      <c r="AB2" t="s">
        <v>48</v>
      </c>
      <c r="AC2" t="s">
        <v>48</v>
      </c>
      <c r="AD2">
        <v>0</v>
      </c>
      <c r="AE2">
        <v>57</v>
      </c>
      <c r="AF2">
        <v>323</v>
      </c>
      <c r="AG2" t="s">
        <v>50</v>
      </c>
      <c r="AH2" s="1">
        <v>46006</v>
      </c>
      <c r="AI2" t="s">
        <v>51</v>
      </c>
    </row>
    <row r="3" spans="1:35" ht="15.75" hidden="1" x14ac:dyDescent="0.25">
      <c r="A3" t="s">
        <v>35</v>
      </c>
      <c r="B3" t="s">
        <v>36</v>
      </c>
      <c r="C3" t="s">
        <v>52</v>
      </c>
      <c r="D3" t="s">
        <v>38</v>
      </c>
      <c r="E3" t="s">
        <v>39</v>
      </c>
      <c r="F3" t="s">
        <v>40</v>
      </c>
      <c r="G3" t="s">
        <v>53</v>
      </c>
      <c r="H3" t="s">
        <v>54</v>
      </c>
      <c r="I3" t="s">
        <v>55</v>
      </c>
      <c r="J3" t="s">
        <v>56</v>
      </c>
      <c r="K3" s="1">
        <v>45995.75134563657</v>
      </c>
      <c r="L3" s="1">
        <v>45997.308677604167</v>
      </c>
      <c r="M3" t="s">
        <v>45</v>
      </c>
      <c r="N3" t="s">
        <v>57</v>
      </c>
      <c r="O3">
        <v>550</v>
      </c>
      <c r="P3">
        <v>0</v>
      </c>
      <c r="Q3" t="s">
        <v>58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59</v>
      </c>
      <c r="AA3">
        <v>0</v>
      </c>
      <c r="AB3" t="s">
        <v>48</v>
      </c>
      <c r="AC3" t="s">
        <v>48</v>
      </c>
      <c r="AD3">
        <v>0</v>
      </c>
      <c r="AE3">
        <v>68.400000000000006</v>
      </c>
      <c r="AF3">
        <v>481.6</v>
      </c>
      <c r="AG3" t="s">
        <v>50</v>
      </c>
      <c r="AH3" s="1">
        <v>46006</v>
      </c>
      <c r="AI3" t="s">
        <v>51</v>
      </c>
    </row>
    <row r="4" spans="1:35" ht="15.75" x14ac:dyDescent="0.25">
      <c r="A4" t="s">
        <v>35</v>
      </c>
      <c r="B4" t="s">
        <v>36</v>
      </c>
      <c r="C4" t="s">
        <v>60</v>
      </c>
      <c r="D4" t="s">
        <v>38</v>
      </c>
      <c r="E4" t="s">
        <v>39</v>
      </c>
      <c r="F4" t="s">
        <v>40</v>
      </c>
      <c r="G4" t="s">
        <v>61</v>
      </c>
      <c r="H4" t="s">
        <v>62</v>
      </c>
      <c r="I4" t="s">
        <v>63</v>
      </c>
      <c r="J4" t="s">
        <v>64</v>
      </c>
      <c r="K4" s="1">
        <v>45997.570667453707</v>
      </c>
      <c r="L4" s="1">
        <v>45997.670425219905</v>
      </c>
      <c r="M4" t="s">
        <v>45</v>
      </c>
      <c r="N4" t="s">
        <v>65</v>
      </c>
      <c r="O4">
        <v>500</v>
      </c>
      <c r="P4">
        <v>0</v>
      </c>
      <c r="Q4" t="s">
        <v>47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49</v>
      </c>
      <c r="AA4">
        <v>0</v>
      </c>
      <c r="AB4" t="s">
        <v>48</v>
      </c>
      <c r="AC4" t="s">
        <v>48</v>
      </c>
      <c r="AD4">
        <v>0</v>
      </c>
      <c r="AE4">
        <v>57</v>
      </c>
      <c r="AF4">
        <v>443</v>
      </c>
      <c r="AG4" t="s">
        <v>50</v>
      </c>
      <c r="AH4" s="1">
        <v>46006</v>
      </c>
      <c r="AI4" t="s">
        <v>51</v>
      </c>
    </row>
    <row r="5" spans="1:35" ht="15.75" x14ac:dyDescent="0.25">
      <c r="A5" t="s">
        <v>35</v>
      </c>
      <c r="B5" t="s">
        <v>36</v>
      </c>
      <c r="C5" t="s">
        <v>66</v>
      </c>
      <c r="D5" t="s">
        <v>38</v>
      </c>
      <c r="E5" t="s">
        <v>39</v>
      </c>
      <c r="F5" t="s">
        <v>40</v>
      </c>
      <c r="G5" t="s">
        <v>67</v>
      </c>
      <c r="H5" t="s">
        <v>68</v>
      </c>
      <c r="I5" t="s">
        <v>69</v>
      </c>
      <c r="J5" t="s">
        <v>70</v>
      </c>
      <c r="K5" s="1">
        <v>45997.569831886576</v>
      </c>
      <c r="L5" s="1">
        <v>45997.674085925923</v>
      </c>
      <c r="M5" t="s">
        <v>45</v>
      </c>
      <c r="N5" t="s">
        <v>71</v>
      </c>
      <c r="O5">
        <v>555</v>
      </c>
      <c r="P5">
        <v>0</v>
      </c>
      <c r="Q5" t="s">
        <v>72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73</v>
      </c>
      <c r="AA5">
        <v>0</v>
      </c>
      <c r="AB5" t="s">
        <v>48</v>
      </c>
      <c r="AC5" t="s">
        <v>48</v>
      </c>
      <c r="AD5">
        <v>0</v>
      </c>
      <c r="AE5">
        <v>61.56</v>
      </c>
      <c r="AF5">
        <v>493.44</v>
      </c>
      <c r="AG5" t="s">
        <v>50</v>
      </c>
      <c r="AH5" s="1">
        <v>46006</v>
      </c>
      <c r="AI5" t="s">
        <v>51</v>
      </c>
    </row>
    <row r="6" spans="1:35" ht="15.75" x14ac:dyDescent="0.25">
      <c r="A6" t="s">
        <v>35</v>
      </c>
      <c r="B6" t="s">
        <v>36</v>
      </c>
      <c r="C6" t="s">
        <v>74</v>
      </c>
      <c r="D6" t="s">
        <v>38</v>
      </c>
      <c r="E6" t="s">
        <v>39</v>
      </c>
      <c r="F6" t="s">
        <v>40</v>
      </c>
      <c r="G6" t="s">
        <v>75</v>
      </c>
      <c r="H6" t="s">
        <v>76</v>
      </c>
      <c r="I6" t="s">
        <v>77</v>
      </c>
      <c r="J6" t="s">
        <v>78</v>
      </c>
      <c r="K6" s="1">
        <v>45997.50996239583</v>
      </c>
      <c r="L6" s="1">
        <v>45997.692469837966</v>
      </c>
      <c r="M6" t="s">
        <v>45</v>
      </c>
      <c r="N6" t="s">
        <v>65</v>
      </c>
      <c r="O6">
        <v>500</v>
      </c>
      <c r="P6">
        <v>0</v>
      </c>
      <c r="Q6" t="s">
        <v>47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49</v>
      </c>
      <c r="AA6">
        <v>0</v>
      </c>
      <c r="AB6" t="s">
        <v>48</v>
      </c>
      <c r="AC6" t="s">
        <v>48</v>
      </c>
      <c r="AD6">
        <v>0</v>
      </c>
      <c r="AE6">
        <v>57</v>
      </c>
      <c r="AF6">
        <v>443</v>
      </c>
      <c r="AG6" t="s">
        <v>50</v>
      </c>
      <c r="AH6" s="1">
        <v>46006</v>
      </c>
      <c r="AI6" t="s">
        <v>51</v>
      </c>
    </row>
    <row r="7" spans="1:35" ht="15.75" hidden="1" x14ac:dyDescent="0.25">
      <c r="A7" t="s">
        <v>35</v>
      </c>
      <c r="B7" t="s">
        <v>36</v>
      </c>
      <c r="C7" t="s">
        <v>79</v>
      </c>
      <c r="D7" t="s">
        <v>38</v>
      </c>
      <c r="E7" t="s">
        <v>39</v>
      </c>
      <c r="F7" t="s">
        <v>40</v>
      </c>
      <c r="G7" t="s">
        <v>80</v>
      </c>
      <c r="H7" t="s">
        <v>81</v>
      </c>
      <c r="I7" t="s">
        <v>82</v>
      </c>
      <c r="J7" t="s">
        <v>83</v>
      </c>
      <c r="K7" s="1">
        <v>45997.393297766204</v>
      </c>
      <c r="L7" s="1">
        <v>45997.738047453706</v>
      </c>
      <c r="M7" t="s">
        <v>45</v>
      </c>
      <c r="N7" t="s">
        <v>84</v>
      </c>
      <c r="O7">
        <v>500</v>
      </c>
      <c r="P7">
        <v>0</v>
      </c>
      <c r="Q7" t="s">
        <v>85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86</v>
      </c>
      <c r="AA7">
        <v>0</v>
      </c>
      <c r="AB7" t="s">
        <v>48</v>
      </c>
      <c r="AC7" t="s">
        <v>48</v>
      </c>
      <c r="AD7">
        <v>0</v>
      </c>
      <c r="AE7">
        <v>92.34</v>
      </c>
      <c r="AF7">
        <v>407.65999999999997</v>
      </c>
      <c r="AG7" t="s">
        <v>50</v>
      </c>
      <c r="AH7" s="1">
        <v>46006</v>
      </c>
      <c r="AI7" t="s">
        <v>51</v>
      </c>
    </row>
    <row r="8" spans="1:35" ht="15.75" x14ac:dyDescent="0.25">
      <c r="A8" t="s">
        <v>35</v>
      </c>
      <c r="B8" t="s">
        <v>36</v>
      </c>
      <c r="C8" t="s">
        <v>87</v>
      </c>
      <c r="D8" t="s">
        <v>38</v>
      </c>
      <c r="E8" t="s">
        <v>39</v>
      </c>
      <c r="F8" t="s">
        <v>40</v>
      </c>
      <c r="G8" t="s">
        <v>88</v>
      </c>
      <c r="H8" t="s">
        <v>89</v>
      </c>
      <c r="I8" t="s">
        <v>90</v>
      </c>
      <c r="J8" t="s">
        <v>91</v>
      </c>
      <c r="K8" s="1">
        <v>45997.571097233798</v>
      </c>
      <c r="L8" s="1">
        <v>45997.818621458333</v>
      </c>
      <c r="M8" t="s">
        <v>45</v>
      </c>
      <c r="N8" t="s">
        <v>65</v>
      </c>
      <c r="O8">
        <v>319</v>
      </c>
      <c r="P8">
        <v>0</v>
      </c>
      <c r="Q8" t="s">
        <v>47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49</v>
      </c>
      <c r="AA8">
        <v>0</v>
      </c>
      <c r="AB8" t="s">
        <v>48</v>
      </c>
      <c r="AC8" t="s">
        <v>48</v>
      </c>
      <c r="AD8">
        <v>0</v>
      </c>
      <c r="AE8">
        <v>57</v>
      </c>
      <c r="AF8">
        <v>262</v>
      </c>
      <c r="AG8" t="s">
        <v>50</v>
      </c>
      <c r="AH8" s="1">
        <v>46006</v>
      </c>
      <c r="AI8" t="s">
        <v>51</v>
      </c>
    </row>
    <row r="9" spans="1:35" ht="15.75" x14ac:dyDescent="0.25">
      <c r="A9" t="s">
        <v>35</v>
      </c>
      <c r="B9" t="s">
        <v>36</v>
      </c>
      <c r="C9" t="s">
        <v>92</v>
      </c>
      <c r="D9" t="s">
        <v>38</v>
      </c>
      <c r="E9" t="s">
        <v>39</v>
      </c>
      <c r="F9" t="s">
        <v>40</v>
      </c>
      <c r="G9" t="s">
        <v>93</v>
      </c>
      <c r="H9" t="s">
        <v>94</v>
      </c>
      <c r="I9" t="s">
        <v>95</v>
      </c>
      <c r="J9" t="s">
        <v>96</v>
      </c>
      <c r="K9" s="1">
        <v>45997.557044525463</v>
      </c>
      <c r="L9" s="1">
        <v>45997.832003391202</v>
      </c>
      <c r="M9" t="s">
        <v>45</v>
      </c>
      <c r="N9" t="s">
        <v>65</v>
      </c>
      <c r="O9">
        <v>380</v>
      </c>
      <c r="P9">
        <v>0</v>
      </c>
      <c r="Q9" t="s">
        <v>47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49</v>
      </c>
      <c r="AA9">
        <v>0</v>
      </c>
      <c r="AB9" t="s">
        <v>48</v>
      </c>
      <c r="AC9" t="s">
        <v>48</v>
      </c>
      <c r="AD9">
        <v>0</v>
      </c>
      <c r="AE9">
        <v>57</v>
      </c>
      <c r="AF9">
        <v>323</v>
      </c>
      <c r="AG9" t="s">
        <v>50</v>
      </c>
      <c r="AH9" s="1">
        <v>46006</v>
      </c>
      <c r="AI9" t="s">
        <v>51</v>
      </c>
    </row>
    <row r="10" spans="1:35" ht="15.75" x14ac:dyDescent="0.25">
      <c r="A10" t="s">
        <v>35</v>
      </c>
      <c r="B10" t="s">
        <v>36</v>
      </c>
      <c r="C10" t="s">
        <v>97</v>
      </c>
      <c r="D10" t="s">
        <v>38</v>
      </c>
      <c r="E10" t="s">
        <v>39</v>
      </c>
      <c r="F10" t="s">
        <v>40</v>
      </c>
      <c r="G10" t="s">
        <v>98</v>
      </c>
      <c r="H10" t="s">
        <v>99</v>
      </c>
      <c r="I10" t="s">
        <v>100</v>
      </c>
      <c r="J10" t="s">
        <v>101</v>
      </c>
      <c r="K10" s="1">
        <v>45998.471584861109</v>
      </c>
      <c r="L10" s="1">
        <v>45998.625027256945</v>
      </c>
      <c r="M10" t="s">
        <v>45</v>
      </c>
      <c r="N10" t="s">
        <v>46</v>
      </c>
      <c r="O10">
        <v>574</v>
      </c>
      <c r="P10">
        <v>0</v>
      </c>
      <c r="Q10" t="s">
        <v>47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49</v>
      </c>
      <c r="AA10">
        <v>0</v>
      </c>
      <c r="AB10" t="s">
        <v>48</v>
      </c>
      <c r="AC10" t="s">
        <v>48</v>
      </c>
      <c r="AD10">
        <v>0</v>
      </c>
      <c r="AE10">
        <v>57</v>
      </c>
      <c r="AF10">
        <v>517</v>
      </c>
      <c r="AG10" t="s">
        <v>50</v>
      </c>
      <c r="AH10" s="1">
        <v>46006</v>
      </c>
      <c r="AI10" t="s">
        <v>51</v>
      </c>
    </row>
    <row r="11" spans="1:35" ht="15.75" x14ac:dyDescent="0.25">
      <c r="A11" t="s">
        <v>35</v>
      </c>
      <c r="B11" t="s">
        <v>36</v>
      </c>
      <c r="C11" t="s">
        <v>102</v>
      </c>
      <c r="D11" t="s">
        <v>38</v>
      </c>
      <c r="E11" t="s">
        <v>39</v>
      </c>
      <c r="F11" t="s">
        <v>40</v>
      </c>
      <c r="G11" t="s">
        <v>103</v>
      </c>
      <c r="H11" t="s">
        <v>104</v>
      </c>
      <c r="I11" t="s">
        <v>105</v>
      </c>
      <c r="J11" t="s">
        <v>106</v>
      </c>
      <c r="K11" s="1">
        <v>45998.580101041669</v>
      </c>
      <c r="L11" s="1">
        <v>45998.672375925926</v>
      </c>
      <c r="M11" t="s">
        <v>45</v>
      </c>
      <c r="N11" t="s">
        <v>65</v>
      </c>
      <c r="O11">
        <v>900</v>
      </c>
      <c r="P11">
        <v>0</v>
      </c>
      <c r="Q11" t="s">
        <v>47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49</v>
      </c>
      <c r="AA11">
        <v>0</v>
      </c>
      <c r="AB11" t="s">
        <v>48</v>
      </c>
      <c r="AC11" t="s">
        <v>48</v>
      </c>
      <c r="AD11">
        <v>0</v>
      </c>
      <c r="AE11">
        <v>57</v>
      </c>
      <c r="AF11">
        <v>843</v>
      </c>
      <c r="AG11" t="s">
        <v>50</v>
      </c>
      <c r="AH11" s="1">
        <v>46006</v>
      </c>
      <c r="AI11" t="s">
        <v>51</v>
      </c>
    </row>
    <row r="12" spans="1:35" ht="15.75" hidden="1" x14ac:dyDescent="0.25">
      <c r="A12" t="s">
        <v>35</v>
      </c>
      <c r="B12" t="s">
        <v>36</v>
      </c>
      <c r="C12" t="s">
        <v>107</v>
      </c>
      <c r="D12" t="s">
        <v>38</v>
      </c>
      <c r="E12" t="s">
        <v>39</v>
      </c>
      <c r="F12" t="s">
        <v>40</v>
      </c>
      <c r="G12" t="s">
        <v>108</v>
      </c>
      <c r="H12" t="s">
        <v>109</v>
      </c>
      <c r="I12" t="s">
        <v>110</v>
      </c>
      <c r="J12" t="s">
        <v>111</v>
      </c>
      <c r="K12" s="1">
        <v>45998.508198807867</v>
      </c>
      <c r="L12" s="1">
        <v>45998.68512076389</v>
      </c>
      <c r="M12" t="s">
        <v>45</v>
      </c>
      <c r="N12" t="s">
        <v>65</v>
      </c>
      <c r="O12">
        <v>550</v>
      </c>
      <c r="P12">
        <v>0</v>
      </c>
      <c r="Q12" t="s">
        <v>47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49</v>
      </c>
      <c r="AA12">
        <v>0</v>
      </c>
      <c r="AB12" t="s">
        <v>48</v>
      </c>
      <c r="AC12" t="s">
        <v>48</v>
      </c>
      <c r="AD12">
        <v>0</v>
      </c>
      <c r="AE12">
        <v>57</v>
      </c>
      <c r="AF12">
        <v>493</v>
      </c>
      <c r="AG12" t="s">
        <v>50</v>
      </c>
      <c r="AH12" s="1">
        <v>46006</v>
      </c>
      <c r="AI12" t="s">
        <v>51</v>
      </c>
    </row>
    <row r="13" spans="1:35" ht="15.75" hidden="1" x14ac:dyDescent="0.25">
      <c r="A13" t="s">
        <v>35</v>
      </c>
      <c r="B13" t="s">
        <v>36</v>
      </c>
      <c r="C13" t="s">
        <v>112</v>
      </c>
      <c r="D13" t="s">
        <v>38</v>
      </c>
      <c r="E13" t="s">
        <v>39</v>
      </c>
      <c r="F13" t="s">
        <v>40</v>
      </c>
      <c r="G13" t="s">
        <v>113</v>
      </c>
      <c r="H13" t="s">
        <v>81</v>
      </c>
      <c r="I13" t="s">
        <v>114</v>
      </c>
      <c r="J13" t="s">
        <v>115</v>
      </c>
      <c r="K13" s="1">
        <v>45998.531904988427</v>
      </c>
      <c r="L13" s="1">
        <v>45998.692575937501</v>
      </c>
      <c r="M13" t="s">
        <v>45</v>
      </c>
      <c r="N13" t="s">
        <v>65</v>
      </c>
      <c r="O13">
        <v>550</v>
      </c>
      <c r="P13">
        <v>0</v>
      </c>
      <c r="Q13" t="s">
        <v>47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49</v>
      </c>
      <c r="AA13">
        <v>0</v>
      </c>
      <c r="AB13" t="s">
        <v>48</v>
      </c>
      <c r="AC13" t="s">
        <v>48</v>
      </c>
      <c r="AD13">
        <v>0</v>
      </c>
      <c r="AE13">
        <v>57</v>
      </c>
      <c r="AF13">
        <v>493</v>
      </c>
      <c r="AG13" t="s">
        <v>50</v>
      </c>
      <c r="AH13" s="1">
        <v>46006</v>
      </c>
      <c r="AI13" t="s">
        <v>51</v>
      </c>
    </row>
    <row r="14" spans="1:35" ht="15.75" x14ac:dyDescent="0.25">
      <c r="A14" t="s">
        <v>35</v>
      </c>
      <c r="B14" t="s">
        <v>36</v>
      </c>
      <c r="C14" t="s">
        <v>116</v>
      </c>
      <c r="D14" t="s">
        <v>38</v>
      </c>
      <c r="E14" t="s">
        <v>39</v>
      </c>
      <c r="F14" t="s">
        <v>40</v>
      </c>
      <c r="G14" t="s">
        <v>117</v>
      </c>
      <c r="H14" t="s">
        <v>118</v>
      </c>
      <c r="I14" t="s">
        <v>119</v>
      </c>
      <c r="J14" t="s">
        <v>120</v>
      </c>
      <c r="K14" s="1">
        <v>45998.467473854165</v>
      </c>
      <c r="L14" s="1">
        <v>45998.707342534719</v>
      </c>
      <c r="M14" t="s">
        <v>45</v>
      </c>
      <c r="N14" t="s">
        <v>65</v>
      </c>
      <c r="O14">
        <v>500</v>
      </c>
      <c r="P14">
        <v>0</v>
      </c>
      <c r="Q14" t="s">
        <v>47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49</v>
      </c>
      <c r="AA14">
        <v>0</v>
      </c>
      <c r="AB14" t="s">
        <v>48</v>
      </c>
      <c r="AC14" t="s">
        <v>48</v>
      </c>
      <c r="AD14">
        <v>0</v>
      </c>
      <c r="AE14">
        <v>57</v>
      </c>
      <c r="AF14">
        <v>443</v>
      </c>
      <c r="AG14" t="s">
        <v>50</v>
      </c>
      <c r="AH14" s="1">
        <v>46006</v>
      </c>
      <c r="AI14" t="s">
        <v>51</v>
      </c>
    </row>
    <row r="15" spans="1:35" ht="15.75" hidden="1" x14ac:dyDescent="0.25">
      <c r="A15" t="s">
        <v>35</v>
      </c>
      <c r="B15" t="s">
        <v>36</v>
      </c>
      <c r="C15" t="s">
        <v>121</v>
      </c>
      <c r="D15" t="s">
        <v>38</v>
      </c>
      <c r="E15" t="s">
        <v>39</v>
      </c>
      <c r="F15" t="s">
        <v>40</v>
      </c>
      <c r="G15" t="s">
        <v>122</v>
      </c>
      <c r="H15" t="s">
        <v>123</v>
      </c>
      <c r="I15" t="s">
        <v>124</v>
      </c>
      <c r="J15" t="s">
        <v>125</v>
      </c>
      <c r="K15" s="1">
        <v>45998.605875659719</v>
      </c>
      <c r="L15" s="1">
        <v>45998.727763090275</v>
      </c>
      <c r="M15" t="s">
        <v>45</v>
      </c>
      <c r="N15" t="s">
        <v>126</v>
      </c>
      <c r="O15">
        <v>550</v>
      </c>
      <c r="P15">
        <v>0</v>
      </c>
      <c r="Q15" t="s">
        <v>47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49</v>
      </c>
      <c r="AA15">
        <v>0</v>
      </c>
      <c r="AB15" t="s">
        <v>48</v>
      </c>
      <c r="AC15" t="s">
        <v>48</v>
      </c>
      <c r="AD15">
        <v>0</v>
      </c>
      <c r="AE15">
        <v>57</v>
      </c>
      <c r="AF15">
        <v>493</v>
      </c>
      <c r="AG15" t="s">
        <v>50</v>
      </c>
      <c r="AH15" s="1">
        <v>46006</v>
      </c>
      <c r="AI15" t="s">
        <v>51</v>
      </c>
    </row>
    <row r="16" spans="1:35" ht="15.75" hidden="1" x14ac:dyDescent="0.25">
      <c r="A16" t="s">
        <v>35</v>
      </c>
      <c r="B16" t="s">
        <v>36</v>
      </c>
      <c r="C16" t="s">
        <v>127</v>
      </c>
      <c r="D16" t="s">
        <v>38</v>
      </c>
      <c r="E16" t="s">
        <v>39</v>
      </c>
      <c r="F16" t="s">
        <v>40</v>
      </c>
      <c r="G16" t="s">
        <v>128</v>
      </c>
      <c r="H16" t="s">
        <v>129</v>
      </c>
      <c r="I16" t="s">
        <v>130</v>
      </c>
      <c r="J16" t="s">
        <v>131</v>
      </c>
      <c r="K16" s="1">
        <v>45998.544226342594</v>
      </c>
      <c r="L16" s="1">
        <v>45998.748103090278</v>
      </c>
      <c r="M16" t="s">
        <v>45</v>
      </c>
      <c r="N16" t="s">
        <v>46</v>
      </c>
      <c r="O16">
        <v>550</v>
      </c>
      <c r="P16">
        <v>0</v>
      </c>
      <c r="Q16" t="s">
        <v>47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49</v>
      </c>
      <c r="AA16">
        <v>0</v>
      </c>
      <c r="AB16" t="s">
        <v>48</v>
      </c>
      <c r="AC16" t="s">
        <v>48</v>
      </c>
      <c r="AD16">
        <v>0</v>
      </c>
      <c r="AE16">
        <v>57</v>
      </c>
      <c r="AF16">
        <v>493</v>
      </c>
      <c r="AG16" t="s">
        <v>50</v>
      </c>
      <c r="AH16" s="1">
        <v>46006</v>
      </c>
      <c r="AI16" t="s">
        <v>51</v>
      </c>
    </row>
    <row r="17" spans="1:35" ht="15.75" hidden="1" x14ac:dyDescent="0.25">
      <c r="A17" t="s">
        <v>35</v>
      </c>
      <c r="B17" t="s">
        <v>36</v>
      </c>
      <c r="C17" t="s">
        <v>132</v>
      </c>
      <c r="D17" t="s">
        <v>38</v>
      </c>
      <c r="E17" t="s">
        <v>39</v>
      </c>
      <c r="F17" t="s">
        <v>40</v>
      </c>
      <c r="G17" t="s">
        <v>133</v>
      </c>
      <c r="H17" t="s">
        <v>134</v>
      </c>
      <c r="I17" t="s">
        <v>135</v>
      </c>
      <c r="J17" t="s">
        <v>136</v>
      </c>
      <c r="K17" s="1">
        <v>45998.571541967591</v>
      </c>
      <c r="L17" s="1">
        <v>45998.748824490744</v>
      </c>
      <c r="M17" t="s">
        <v>45</v>
      </c>
      <c r="N17" t="s">
        <v>65</v>
      </c>
      <c r="O17">
        <v>955</v>
      </c>
      <c r="P17">
        <v>0</v>
      </c>
      <c r="Q17" t="s">
        <v>47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49</v>
      </c>
      <c r="AA17">
        <v>0</v>
      </c>
      <c r="AB17" t="s">
        <v>48</v>
      </c>
      <c r="AC17" t="s">
        <v>48</v>
      </c>
      <c r="AD17">
        <v>0</v>
      </c>
      <c r="AE17">
        <v>57</v>
      </c>
      <c r="AF17">
        <v>898</v>
      </c>
      <c r="AG17" t="s">
        <v>50</v>
      </c>
      <c r="AH17" s="1">
        <v>46006</v>
      </c>
      <c r="AI17" t="s">
        <v>51</v>
      </c>
    </row>
    <row r="18" spans="1:35" ht="15.75" hidden="1" x14ac:dyDescent="0.25">
      <c r="A18" t="s">
        <v>35</v>
      </c>
      <c r="B18" t="s">
        <v>36</v>
      </c>
      <c r="C18" t="s">
        <v>137</v>
      </c>
      <c r="D18" t="s">
        <v>38</v>
      </c>
      <c r="E18" t="s">
        <v>39</v>
      </c>
      <c r="F18" t="s">
        <v>40</v>
      </c>
      <c r="G18" t="s">
        <v>138</v>
      </c>
      <c r="H18" t="s">
        <v>129</v>
      </c>
      <c r="I18" t="s">
        <v>139</v>
      </c>
      <c r="J18" t="s">
        <v>140</v>
      </c>
      <c r="K18" s="1">
        <v>45998.565150787035</v>
      </c>
      <c r="L18" s="1">
        <v>45998.754607326387</v>
      </c>
      <c r="M18" t="s">
        <v>45</v>
      </c>
      <c r="N18" t="s">
        <v>46</v>
      </c>
      <c r="O18">
        <v>550</v>
      </c>
      <c r="P18">
        <v>0</v>
      </c>
      <c r="Q18" t="s">
        <v>47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49</v>
      </c>
      <c r="AA18">
        <v>0</v>
      </c>
      <c r="AB18" t="s">
        <v>48</v>
      </c>
      <c r="AC18" t="s">
        <v>48</v>
      </c>
      <c r="AD18">
        <v>0</v>
      </c>
      <c r="AE18">
        <v>57</v>
      </c>
      <c r="AF18">
        <v>493</v>
      </c>
      <c r="AG18" t="s">
        <v>50</v>
      </c>
      <c r="AH18" s="1">
        <v>46006</v>
      </c>
      <c r="AI18" t="s">
        <v>51</v>
      </c>
    </row>
    <row r="19" spans="1:35" ht="15.75" x14ac:dyDescent="0.25">
      <c r="A19" t="s">
        <v>35</v>
      </c>
      <c r="B19" t="s">
        <v>36</v>
      </c>
      <c r="C19" t="s">
        <v>141</v>
      </c>
      <c r="D19" t="s">
        <v>38</v>
      </c>
      <c r="E19" t="s">
        <v>39</v>
      </c>
      <c r="F19" t="s">
        <v>40</v>
      </c>
      <c r="G19" t="s">
        <v>142</v>
      </c>
      <c r="H19" t="s">
        <v>143</v>
      </c>
      <c r="I19" t="s">
        <v>144</v>
      </c>
      <c r="J19" t="s">
        <v>145</v>
      </c>
      <c r="K19" s="1">
        <v>45998.550439826387</v>
      </c>
      <c r="L19" s="1">
        <v>45998.756620011576</v>
      </c>
      <c r="M19" t="s">
        <v>45</v>
      </c>
      <c r="N19" t="s">
        <v>65</v>
      </c>
      <c r="O19">
        <v>380</v>
      </c>
      <c r="P19">
        <v>0</v>
      </c>
      <c r="Q19" t="s">
        <v>47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49</v>
      </c>
      <c r="AA19">
        <v>0</v>
      </c>
      <c r="AB19" t="s">
        <v>48</v>
      </c>
      <c r="AC19" t="s">
        <v>48</v>
      </c>
      <c r="AD19">
        <v>0</v>
      </c>
      <c r="AE19">
        <v>57</v>
      </c>
      <c r="AF19">
        <v>323</v>
      </c>
      <c r="AG19" t="s">
        <v>50</v>
      </c>
      <c r="AH19" s="1">
        <v>46006</v>
      </c>
      <c r="AI19" t="s">
        <v>51</v>
      </c>
    </row>
    <row r="20" spans="1:35" ht="15.75" hidden="1" x14ac:dyDescent="0.25">
      <c r="A20" t="s">
        <v>35</v>
      </c>
      <c r="B20" t="s">
        <v>36</v>
      </c>
      <c r="C20" t="s">
        <v>146</v>
      </c>
      <c r="D20" t="s">
        <v>38</v>
      </c>
      <c r="E20" t="s">
        <v>39</v>
      </c>
      <c r="F20" t="s">
        <v>40</v>
      </c>
      <c r="G20" t="s">
        <v>147</v>
      </c>
      <c r="H20" t="s">
        <v>148</v>
      </c>
      <c r="I20" t="s">
        <v>149</v>
      </c>
      <c r="J20" t="s">
        <v>150</v>
      </c>
      <c r="K20" s="1">
        <v>45998.601338298613</v>
      </c>
      <c r="L20" s="1">
        <v>45998.75923635417</v>
      </c>
      <c r="M20" t="s">
        <v>45</v>
      </c>
      <c r="N20" t="s">
        <v>46</v>
      </c>
      <c r="O20">
        <v>550</v>
      </c>
      <c r="P20">
        <v>0</v>
      </c>
      <c r="Q20" t="s">
        <v>47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49</v>
      </c>
      <c r="AA20">
        <v>0</v>
      </c>
      <c r="AB20" t="s">
        <v>48</v>
      </c>
      <c r="AC20" t="s">
        <v>48</v>
      </c>
      <c r="AD20">
        <v>0</v>
      </c>
      <c r="AE20">
        <v>57</v>
      </c>
      <c r="AF20">
        <v>493</v>
      </c>
      <c r="AG20" t="s">
        <v>50</v>
      </c>
      <c r="AH20" s="1">
        <v>46006</v>
      </c>
      <c r="AI20" t="s">
        <v>51</v>
      </c>
    </row>
    <row r="21" spans="1:35" ht="15.75" hidden="1" x14ac:dyDescent="0.25">
      <c r="A21" t="s">
        <v>35</v>
      </c>
      <c r="B21" t="s">
        <v>36</v>
      </c>
      <c r="C21" t="s">
        <v>151</v>
      </c>
      <c r="D21" t="s">
        <v>38</v>
      </c>
      <c r="E21" t="s">
        <v>39</v>
      </c>
      <c r="F21" t="s">
        <v>40</v>
      </c>
      <c r="G21" t="s">
        <v>152</v>
      </c>
      <c r="H21" t="s">
        <v>153</v>
      </c>
      <c r="I21" t="s">
        <v>154</v>
      </c>
      <c r="J21" t="s">
        <v>155</v>
      </c>
      <c r="K21" s="1">
        <v>45998.640529583332</v>
      </c>
      <c r="L21" s="1">
        <v>45998.770912129628</v>
      </c>
      <c r="M21" t="s">
        <v>45</v>
      </c>
      <c r="N21" t="s">
        <v>65</v>
      </c>
      <c r="O21">
        <v>430</v>
      </c>
      <c r="P21">
        <v>0</v>
      </c>
      <c r="Q21" t="s">
        <v>47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49</v>
      </c>
      <c r="AA21">
        <v>0</v>
      </c>
      <c r="AB21" t="s">
        <v>48</v>
      </c>
      <c r="AC21" t="s">
        <v>48</v>
      </c>
      <c r="AD21">
        <v>0</v>
      </c>
      <c r="AE21">
        <v>57</v>
      </c>
      <c r="AF21">
        <v>373</v>
      </c>
      <c r="AG21" t="s">
        <v>50</v>
      </c>
      <c r="AH21" s="1">
        <v>46006</v>
      </c>
      <c r="AI21" t="s">
        <v>51</v>
      </c>
    </row>
    <row r="22" spans="1:35" ht="15.75" hidden="1" x14ac:dyDescent="0.25">
      <c r="A22" t="s">
        <v>35</v>
      </c>
      <c r="B22" t="s">
        <v>36</v>
      </c>
      <c r="C22" t="s">
        <v>156</v>
      </c>
      <c r="D22" t="s">
        <v>38</v>
      </c>
      <c r="E22" t="s">
        <v>39</v>
      </c>
      <c r="F22" t="s">
        <v>40</v>
      </c>
      <c r="G22" t="s">
        <v>157</v>
      </c>
      <c r="H22" t="s">
        <v>123</v>
      </c>
      <c r="I22" t="s">
        <v>158</v>
      </c>
      <c r="J22" t="s">
        <v>159</v>
      </c>
      <c r="K22" s="1">
        <v>45998.639797581018</v>
      </c>
      <c r="L22" s="1">
        <v>45998.792287060183</v>
      </c>
      <c r="M22" t="s">
        <v>45</v>
      </c>
      <c r="N22" t="s">
        <v>65</v>
      </c>
      <c r="O22">
        <v>430</v>
      </c>
      <c r="P22">
        <v>0</v>
      </c>
      <c r="Q22" t="s">
        <v>47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49</v>
      </c>
      <c r="AA22">
        <v>0</v>
      </c>
      <c r="AB22" t="s">
        <v>48</v>
      </c>
      <c r="AC22" t="s">
        <v>48</v>
      </c>
      <c r="AD22">
        <v>0</v>
      </c>
      <c r="AE22">
        <v>57</v>
      </c>
      <c r="AF22">
        <v>373</v>
      </c>
      <c r="AG22" t="s">
        <v>50</v>
      </c>
      <c r="AH22" s="1">
        <v>46006</v>
      </c>
      <c r="AI22" t="s">
        <v>51</v>
      </c>
    </row>
    <row r="23" spans="1:35" ht="15.75" hidden="1" x14ac:dyDescent="0.25">
      <c r="A23" t="s">
        <v>35</v>
      </c>
      <c r="B23" t="s">
        <v>36</v>
      </c>
      <c r="C23" t="s">
        <v>160</v>
      </c>
      <c r="D23" t="s">
        <v>38</v>
      </c>
      <c r="E23" t="s">
        <v>39</v>
      </c>
      <c r="F23" t="s">
        <v>40</v>
      </c>
      <c r="G23" t="s">
        <v>161</v>
      </c>
      <c r="H23" t="s">
        <v>162</v>
      </c>
      <c r="I23" t="s">
        <v>163</v>
      </c>
      <c r="J23" t="s">
        <v>164</v>
      </c>
      <c r="K23" s="1">
        <v>45998.760085000002</v>
      </c>
      <c r="L23" s="1">
        <v>45998.792483750003</v>
      </c>
      <c r="M23" t="s">
        <v>45</v>
      </c>
      <c r="N23" t="s">
        <v>45</v>
      </c>
      <c r="O23">
        <v>1200.04</v>
      </c>
      <c r="P23">
        <v>0</v>
      </c>
      <c r="Q23" t="s">
        <v>58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59</v>
      </c>
      <c r="AA23">
        <v>0</v>
      </c>
      <c r="AB23" t="s">
        <v>48</v>
      </c>
      <c r="AC23" t="s">
        <v>48</v>
      </c>
      <c r="AD23">
        <v>0</v>
      </c>
      <c r="AE23">
        <v>68.400000000000006</v>
      </c>
      <c r="AF23">
        <v>1131.6399999999999</v>
      </c>
      <c r="AG23" t="s">
        <v>50</v>
      </c>
      <c r="AH23" s="1">
        <v>46006</v>
      </c>
      <c r="AI23" t="s">
        <v>51</v>
      </c>
    </row>
    <row r="24" spans="1:35" ht="15.75" hidden="1" x14ac:dyDescent="0.25">
      <c r="A24" t="s">
        <v>35</v>
      </c>
      <c r="B24" t="s">
        <v>36</v>
      </c>
      <c r="C24" t="s">
        <v>165</v>
      </c>
      <c r="D24" t="s">
        <v>38</v>
      </c>
      <c r="E24" t="s">
        <v>39</v>
      </c>
      <c r="F24" t="s">
        <v>40</v>
      </c>
      <c r="G24" t="s">
        <v>166</v>
      </c>
      <c r="H24" t="s">
        <v>167</v>
      </c>
      <c r="I24" t="s">
        <v>168</v>
      </c>
      <c r="J24" t="s">
        <v>169</v>
      </c>
      <c r="K24" s="1">
        <v>45998.581190196761</v>
      </c>
      <c r="L24" s="1">
        <v>45998.793369618055</v>
      </c>
      <c r="M24" t="s">
        <v>45</v>
      </c>
      <c r="N24" t="s">
        <v>46</v>
      </c>
      <c r="O24">
        <v>550</v>
      </c>
      <c r="P24">
        <v>0</v>
      </c>
      <c r="Q24" t="s">
        <v>47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49</v>
      </c>
      <c r="AA24">
        <v>0</v>
      </c>
      <c r="AB24" t="s">
        <v>48</v>
      </c>
      <c r="AC24" t="s">
        <v>48</v>
      </c>
      <c r="AD24">
        <v>0</v>
      </c>
      <c r="AE24">
        <v>57</v>
      </c>
      <c r="AF24">
        <v>493</v>
      </c>
      <c r="AG24" t="s">
        <v>50</v>
      </c>
      <c r="AH24" s="1">
        <v>46006</v>
      </c>
      <c r="AI24" t="s">
        <v>51</v>
      </c>
    </row>
    <row r="25" spans="1:35" ht="15.75" hidden="1" x14ac:dyDescent="0.25">
      <c r="A25" t="s">
        <v>35</v>
      </c>
      <c r="B25" t="s">
        <v>36</v>
      </c>
      <c r="C25" t="s">
        <v>170</v>
      </c>
      <c r="D25" t="s">
        <v>38</v>
      </c>
      <c r="E25" t="s">
        <v>39</v>
      </c>
      <c r="F25" t="s">
        <v>40</v>
      </c>
      <c r="G25" t="s">
        <v>171</v>
      </c>
      <c r="H25" t="s">
        <v>172</v>
      </c>
      <c r="I25" t="s">
        <v>173</v>
      </c>
      <c r="J25" t="s">
        <v>174</v>
      </c>
      <c r="K25" s="1">
        <v>45998.763563090281</v>
      </c>
      <c r="L25" s="1">
        <v>45998.803034594908</v>
      </c>
      <c r="M25" t="s">
        <v>45</v>
      </c>
      <c r="N25" t="s">
        <v>46</v>
      </c>
      <c r="O25">
        <v>1035</v>
      </c>
      <c r="P25">
        <v>0</v>
      </c>
      <c r="Q25" t="s">
        <v>47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49</v>
      </c>
      <c r="AA25">
        <v>0</v>
      </c>
      <c r="AB25" t="s">
        <v>48</v>
      </c>
      <c r="AC25" t="s">
        <v>48</v>
      </c>
      <c r="AD25">
        <v>0</v>
      </c>
      <c r="AE25">
        <v>57</v>
      </c>
      <c r="AF25">
        <v>978</v>
      </c>
      <c r="AG25" t="s">
        <v>50</v>
      </c>
      <c r="AH25" s="1">
        <v>46006</v>
      </c>
      <c r="AI25" t="s">
        <v>51</v>
      </c>
    </row>
    <row r="26" spans="1:35" ht="15.75" hidden="1" x14ac:dyDescent="0.25">
      <c r="A26" t="s">
        <v>35</v>
      </c>
      <c r="B26" t="s">
        <v>36</v>
      </c>
      <c r="C26" t="s">
        <v>175</v>
      </c>
      <c r="D26" t="s">
        <v>38</v>
      </c>
      <c r="E26" t="s">
        <v>39</v>
      </c>
      <c r="F26" t="s">
        <v>40</v>
      </c>
      <c r="G26" t="s">
        <v>176</v>
      </c>
      <c r="H26" t="s">
        <v>109</v>
      </c>
      <c r="I26" t="s">
        <v>177</v>
      </c>
      <c r="J26" t="s">
        <v>178</v>
      </c>
      <c r="K26" s="1">
        <v>45998.677678541666</v>
      </c>
      <c r="L26" s="1">
        <v>45998.810437268519</v>
      </c>
      <c r="M26" t="s">
        <v>45</v>
      </c>
      <c r="N26" t="s">
        <v>179</v>
      </c>
      <c r="O26">
        <v>550</v>
      </c>
      <c r="P26">
        <v>0</v>
      </c>
      <c r="Q26" t="s">
        <v>58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59</v>
      </c>
      <c r="AA26">
        <v>0</v>
      </c>
      <c r="AB26" t="s">
        <v>48</v>
      </c>
      <c r="AC26" t="s">
        <v>48</v>
      </c>
      <c r="AD26">
        <v>0</v>
      </c>
      <c r="AE26">
        <v>68.400000000000006</v>
      </c>
      <c r="AF26">
        <v>481.6</v>
      </c>
      <c r="AG26" t="s">
        <v>50</v>
      </c>
      <c r="AH26" s="1">
        <v>46006</v>
      </c>
      <c r="AI26" t="s">
        <v>51</v>
      </c>
    </row>
    <row r="27" spans="1:35" ht="15.75" hidden="1" x14ac:dyDescent="0.25">
      <c r="A27" t="s">
        <v>35</v>
      </c>
      <c r="B27" t="s">
        <v>36</v>
      </c>
      <c r="C27" t="s">
        <v>180</v>
      </c>
      <c r="D27" t="s">
        <v>38</v>
      </c>
      <c r="E27" t="s">
        <v>39</v>
      </c>
      <c r="F27" t="s">
        <v>40</v>
      </c>
      <c r="G27" t="s">
        <v>181</v>
      </c>
      <c r="H27" t="s">
        <v>182</v>
      </c>
      <c r="I27" t="s">
        <v>183</v>
      </c>
      <c r="J27" t="s">
        <v>184</v>
      </c>
      <c r="K27" s="1">
        <v>45998.546449340276</v>
      </c>
      <c r="L27" s="1">
        <v>45998.812974247689</v>
      </c>
      <c r="M27" t="s">
        <v>45</v>
      </c>
      <c r="N27" t="s">
        <v>71</v>
      </c>
      <c r="O27">
        <v>550</v>
      </c>
      <c r="P27">
        <v>0</v>
      </c>
      <c r="Q27" t="s">
        <v>72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73</v>
      </c>
      <c r="AA27">
        <v>0</v>
      </c>
      <c r="AB27" t="s">
        <v>48</v>
      </c>
      <c r="AC27" t="s">
        <v>48</v>
      </c>
      <c r="AD27">
        <v>0</v>
      </c>
      <c r="AE27">
        <v>61.56</v>
      </c>
      <c r="AF27">
        <v>488.44</v>
      </c>
      <c r="AG27" t="s">
        <v>50</v>
      </c>
      <c r="AH27" s="1">
        <v>46006</v>
      </c>
      <c r="AI27" t="s">
        <v>51</v>
      </c>
    </row>
    <row r="28" spans="1:35" ht="15.75" hidden="1" x14ac:dyDescent="0.25">
      <c r="A28" t="s">
        <v>35</v>
      </c>
      <c r="B28" t="s">
        <v>36</v>
      </c>
      <c r="C28" t="s">
        <v>185</v>
      </c>
      <c r="D28" t="s">
        <v>38</v>
      </c>
      <c r="E28" t="s">
        <v>39</v>
      </c>
      <c r="F28" t="s">
        <v>40</v>
      </c>
      <c r="G28" t="s">
        <v>186</v>
      </c>
      <c r="H28" t="s">
        <v>187</v>
      </c>
      <c r="I28" t="s">
        <v>188</v>
      </c>
      <c r="J28" t="s">
        <v>189</v>
      </c>
      <c r="K28" s="1">
        <v>45998.416606967592</v>
      </c>
      <c r="L28" s="1">
        <v>45998.830634652775</v>
      </c>
      <c r="M28" t="s">
        <v>45</v>
      </c>
      <c r="N28" t="s">
        <v>65</v>
      </c>
      <c r="O28">
        <v>550</v>
      </c>
      <c r="P28">
        <v>0</v>
      </c>
      <c r="Q28" t="s">
        <v>47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49</v>
      </c>
      <c r="AA28">
        <v>0</v>
      </c>
      <c r="AB28" t="s">
        <v>48</v>
      </c>
      <c r="AC28" t="s">
        <v>48</v>
      </c>
      <c r="AD28">
        <v>0</v>
      </c>
      <c r="AE28">
        <v>57</v>
      </c>
      <c r="AF28">
        <v>493</v>
      </c>
      <c r="AG28" t="s">
        <v>50</v>
      </c>
      <c r="AH28" s="1">
        <v>46006</v>
      </c>
      <c r="AI28" t="s">
        <v>51</v>
      </c>
    </row>
    <row r="29" spans="1:35" ht="15.75" hidden="1" x14ac:dyDescent="0.25">
      <c r="A29" t="s">
        <v>35</v>
      </c>
      <c r="B29" t="s">
        <v>36</v>
      </c>
      <c r="C29" t="s">
        <v>190</v>
      </c>
      <c r="D29" t="s">
        <v>38</v>
      </c>
      <c r="E29" t="s">
        <v>39</v>
      </c>
      <c r="F29" t="s">
        <v>40</v>
      </c>
      <c r="G29" t="s">
        <v>191</v>
      </c>
      <c r="H29" t="s">
        <v>192</v>
      </c>
      <c r="I29" t="s">
        <v>193</v>
      </c>
      <c r="J29" t="s">
        <v>194</v>
      </c>
      <c r="K29" s="1">
        <v>45998.709869062499</v>
      </c>
      <c r="L29" s="1">
        <v>45998.832867557867</v>
      </c>
      <c r="M29" t="s">
        <v>45</v>
      </c>
      <c r="N29" t="s">
        <v>195</v>
      </c>
      <c r="O29">
        <v>1200</v>
      </c>
      <c r="P29">
        <v>0</v>
      </c>
      <c r="Q29" t="s">
        <v>85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86</v>
      </c>
      <c r="AA29">
        <v>0</v>
      </c>
      <c r="AB29" t="s">
        <v>48</v>
      </c>
      <c r="AC29" t="s">
        <v>48</v>
      </c>
      <c r="AD29">
        <v>0</v>
      </c>
      <c r="AE29">
        <v>92.34</v>
      </c>
      <c r="AF29">
        <v>1107.6600000000001</v>
      </c>
      <c r="AG29" t="s">
        <v>50</v>
      </c>
      <c r="AH29" s="1">
        <v>46006</v>
      </c>
      <c r="AI29" t="s">
        <v>51</v>
      </c>
    </row>
    <row r="30" spans="1:35" ht="15.75" hidden="1" x14ac:dyDescent="0.25">
      <c r="A30" t="s">
        <v>35</v>
      </c>
      <c r="B30" t="s">
        <v>36</v>
      </c>
      <c r="C30" t="s">
        <v>196</v>
      </c>
      <c r="D30" t="s">
        <v>38</v>
      </c>
      <c r="E30" t="s">
        <v>39</v>
      </c>
      <c r="F30" t="s">
        <v>40</v>
      </c>
      <c r="G30" t="s">
        <v>197</v>
      </c>
      <c r="H30" t="s">
        <v>198</v>
      </c>
      <c r="I30" t="s">
        <v>199</v>
      </c>
      <c r="J30" t="s">
        <v>200</v>
      </c>
      <c r="K30" s="1">
        <v>45998.48853480324</v>
      </c>
      <c r="L30" s="1">
        <v>45998.839206238423</v>
      </c>
      <c r="M30" t="s">
        <v>45</v>
      </c>
      <c r="N30" t="s">
        <v>65</v>
      </c>
      <c r="O30">
        <v>430</v>
      </c>
      <c r="P30">
        <v>0</v>
      </c>
      <c r="Q30" t="s">
        <v>47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49</v>
      </c>
      <c r="AA30">
        <v>0</v>
      </c>
      <c r="AB30" t="s">
        <v>48</v>
      </c>
      <c r="AC30" t="s">
        <v>48</v>
      </c>
      <c r="AD30">
        <v>0</v>
      </c>
      <c r="AE30">
        <v>57</v>
      </c>
      <c r="AF30">
        <v>373</v>
      </c>
      <c r="AG30" t="s">
        <v>50</v>
      </c>
      <c r="AH30" s="1">
        <v>46006</v>
      </c>
      <c r="AI30" t="s">
        <v>51</v>
      </c>
    </row>
    <row r="31" spans="1:35" ht="15.75" hidden="1" x14ac:dyDescent="0.25">
      <c r="A31" t="s">
        <v>35</v>
      </c>
      <c r="B31" t="s">
        <v>36</v>
      </c>
      <c r="C31" t="s">
        <v>201</v>
      </c>
      <c r="D31" t="s">
        <v>38</v>
      </c>
      <c r="E31" t="s">
        <v>39</v>
      </c>
      <c r="F31" t="s">
        <v>40</v>
      </c>
      <c r="G31" t="s">
        <v>202</v>
      </c>
      <c r="H31" t="s">
        <v>203</v>
      </c>
      <c r="I31" t="s">
        <v>204</v>
      </c>
      <c r="J31" t="s">
        <v>205</v>
      </c>
      <c r="K31" s="1">
        <v>45998.684740694443</v>
      </c>
      <c r="L31" s="1">
        <v>45998.84630730324</v>
      </c>
      <c r="M31" t="s">
        <v>45</v>
      </c>
      <c r="N31" t="s">
        <v>46</v>
      </c>
      <c r="O31">
        <v>550</v>
      </c>
      <c r="P31">
        <v>0</v>
      </c>
      <c r="Q31" t="s">
        <v>47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49</v>
      </c>
      <c r="AA31">
        <v>0</v>
      </c>
      <c r="AB31" t="s">
        <v>48</v>
      </c>
      <c r="AC31" t="s">
        <v>48</v>
      </c>
      <c r="AD31">
        <v>0</v>
      </c>
      <c r="AE31">
        <v>57</v>
      </c>
      <c r="AF31">
        <v>493</v>
      </c>
      <c r="AG31" t="s">
        <v>50</v>
      </c>
      <c r="AH31" s="1">
        <v>46006</v>
      </c>
      <c r="AI31" t="s">
        <v>51</v>
      </c>
    </row>
    <row r="32" spans="1:35" ht="15.75" hidden="1" x14ac:dyDescent="0.25">
      <c r="A32" t="s">
        <v>35</v>
      </c>
      <c r="B32" t="s">
        <v>36</v>
      </c>
      <c r="C32" t="s">
        <v>206</v>
      </c>
      <c r="D32" t="s">
        <v>38</v>
      </c>
      <c r="E32" t="s">
        <v>39</v>
      </c>
      <c r="F32" t="s">
        <v>40</v>
      </c>
      <c r="G32" t="s">
        <v>207</v>
      </c>
      <c r="H32" t="s">
        <v>167</v>
      </c>
      <c r="I32" t="s">
        <v>208</v>
      </c>
      <c r="J32" t="s">
        <v>209</v>
      </c>
      <c r="K32" s="1">
        <v>45998.661542141206</v>
      </c>
      <c r="L32" s="1">
        <v>45998.846321979167</v>
      </c>
      <c r="M32" t="s">
        <v>45</v>
      </c>
      <c r="N32" t="s">
        <v>46</v>
      </c>
      <c r="O32">
        <v>550</v>
      </c>
      <c r="P32">
        <v>0</v>
      </c>
      <c r="Q32" t="s">
        <v>47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49</v>
      </c>
      <c r="AA32">
        <v>0</v>
      </c>
      <c r="AB32" t="s">
        <v>48</v>
      </c>
      <c r="AC32" t="s">
        <v>48</v>
      </c>
      <c r="AD32">
        <v>0</v>
      </c>
      <c r="AE32">
        <v>57</v>
      </c>
      <c r="AF32">
        <v>493</v>
      </c>
      <c r="AG32" t="s">
        <v>50</v>
      </c>
      <c r="AH32" s="1">
        <v>46006</v>
      </c>
      <c r="AI32" t="s">
        <v>51</v>
      </c>
    </row>
    <row r="33" spans="1:35" ht="15.75" hidden="1" x14ac:dyDescent="0.25">
      <c r="A33" t="s">
        <v>35</v>
      </c>
      <c r="B33" t="s">
        <v>36</v>
      </c>
      <c r="C33" t="s">
        <v>210</v>
      </c>
      <c r="D33" t="s">
        <v>38</v>
      </c>
      <c r="E33" t="s">
        <v>39</v>
      </c>
      <c r="F33" t="s">
        <v>40</v>
      </c>
      <c r="G33" t="s">
        <v>211</v>
      </c>
      <c r="H33" t="s">
        <v>129</v>
      </c>
      <c r="I33" t="s">
        <v>212</v>
      </c>
      <c r="J33" t="s">
        <v>213</v>
      </c>
      <c r="K33" s="1">
        <v>45998.774182187502</v>
      </c>
      <c r="L33" s="1">
        <v>45998.852610567126</v>
      </c>
      <c r="M33" t="s">
        <v>45</v>
      </c>
      <c r="N33" t="s">
        <v>65</v>
      </c>
      <c r="O33">
        <v>550</v>
      </c>
      <c r="P33">
        <v>0</v>
      </c>
      <c r="Q33" t="s">
        <v>47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49</v>
      </c>
      <c r="AA33">
        <v>0</v>
      </c>
      <c r="AB33" t="s">
        <v>48</v>
      </c>
      <c r="AC33" t="s">
        <v>48</v>
      </c>
      <c r="AD33">
        <v>0</v>
      </c>
      <c r="AE33">
        <v>57</v>
      </c>
      <c r="AF33">
        <v>493</v>
      </c>
      <c r="AG33" t="s">
        <v>50</v>
      </c>
      <c r="AH33" s="1">
        <v>46006</v>
      </c>
      <c r="AI33" t="s">
        <v>51</v>
      </c>
    </row>
    <row r="34" spans="1:35" ht="15.75" hidden="1" x14ac:dyDescent="0.25">
      <c r="A34" t="s">
        <v>35</v>
      </c>
      <c r="B34" t="s">
        <v>36</v>
      </c>
      <c r="C34" t="s">
        <v>214</v>
      </c>
      <c r="D34" t="s">
        <v>38</v>
      </c>
      <c r="E34" t="s">
        <v>39</v>
      </c>
      <c r="F34" t="s">
        <v>40</v>
      </c>
      <c r="G34" t="s">
        <v>215</v>
      </c>
      <c r="H34" t="s">
        <v>167</v>
      </c>
      <c r="I34" t="s">
        <v>216</v>
      </c>
      <c r="J34" t="s">
        <v>217</v>
      </c>
      <c r="K34" s="1">
        <v>45998.659038437501</v>
      </c>
      <c r="L34" s="1">
        <v>45998.852935451388</v>
      </c>
      <c r="M34" t="s">
        <v>45</v>
      </c>
      <c r="N34" t="s">
        <v>46</v>
      </c>
      <c r="O34">
        <v>550</v>
      </c>
      <c r="P34">
        <v>0</v>
      </c>
      <c r="Q34" t="s">
        <v>47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49</v>
      </c>
      <c r="AA34">
        <v>0</v>
      </c>
      <c r="AB34" t="s">
        <v>48</v>
      </c>
      <c r="AC34" t="s">
        <v>48</v>
      </c>
      <c r="AD34">
        <v>0</v>
      </c>
      <c r="AE34">
        <v>57</v>
      </c>
      <c r="AF34">
        <v>493</v>
      </c>
      <c r="AG34" t="s">
        <v>50</v>
      </c>
      <c r="AH34" s="1">
        <v>46006</v>
      </c>
      <c r="AI34" t="s">
        <v>51</v>
      </c>
    </row>
    <row r="35" spans="1:35" ht="15.75" hidden="1" x14ac:dyDescent="0.25">
      <c r="A35" t="s">
        <v>35</v>
      </c>
      <c r="B35" t="s">
        <v>36</v>
      </c>
      <c r="C35" t="s">
        <v>218</v>
      </c>
      <c r="D35" t="s">
        <v>38</v>
      </c>
      <c r="E35" t="s">
        <v>39</v>
      </c>
      <c r="F35" t="s">
        <v>40</v>
      </c>
      <c r="G35" t="s">
        <v>219</v>
      </c>
      <c r="H35" t="s">
        <v>182</v>
      </c>
      <c r="I35" t="s">
        <v>220</v>
      </c>
      <c r="J35" t="s">
        <v>221</v>
      </c>
      <c r="K35" s="1">
        <v>45998.641491620372</v>
      </c>
      <c r="L35" s="1">
        <v>45998.854138333336</v>
      </c>
      <c r="M35" t="s">
        <v>45</v>
      </c>
      <c r="N35" t="s">
        <v>65</v>
      </c>
      <c r="O35">
        <v>550</v>
      </c>
      <c r="P35">
        <v>0</v>
      </c>
      <c r="Q35" t="s">
        <v>47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49</v>
      </c>
      <c r="AA35">
        <v>0</v>
      </c>
      <c r="AB35" t="s">
        <v>48</v>
      </c>
      <c r="AC35" t="s">
        <v>48</v>
      </c>
      <c r="AD35">
        <v>0</v>
      </c>
      <c r="AE35">
        <v>57</v>
      </c>
      <c r="AF35">
        <v>493</v>
      </c>
      <c r="AG35" t="s">
        <v>50</v>
      </c>
      <c r="AH35" s="1">
        <v>46006</v>
      </c>
      <c r="AI35" t="s">
        <v>51</v>
      </c>
    </row>
    <row r="36" spans="1:35" ht="15.75" hidden="1" x14ac:dyDescent="0.25">
      <c r="A36" t="s">
        <v>35</v>
      </c>
      <c r="B36" t="s">
        <v>36</v>
      </c>
      <c r="C36" t="s">
        <v>222</v>
      </c>
      <c r="D36" t="s">
        <v>38</v>
      </c>
      <c r="E36" t="s">
        <v>39</v>
      </c>
      <c r="F36" t="s">
        <v>40</v>
      </c>
      <c r="G36" t="s">
        <v>223</v>
      </c>
      <c r="H36" t="s">
        <v>81</v>
      </c>
      <c r="I36" t="s">
        <v>224</v>
      </c>
      <c r="J36" t="s">
        <v>225</v>
      </c>
      <c r="K36" s="1">
        <v>45998.611599016207</v>
      </c>
      <c r="L36" s="1">
        <v>45998.857481921295</v>
      </c>
      <c r="M36" t="s">
        <v>45</v>
      </c>
      <c r="N36" t="s">
        <v>65</v>
      </c>
      <c r="O36">
        <v>550</v>
      </c>
      <c r="P36">
        <v>0</v>
      </c>
      <c r="Q36" t="s">
        <v>47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49</v>
      </c>
      <c r="AA36">
        <v>0</v>
      </c>
      <c r="AB36" t="s">
        <v>48</v>
      </c>
      <c r="AC36" t="s">
        <v>48</v>
      </c>
      <c r="AD36">
        <v>0</v>
      </c>
      <c r="AE36">
        <v>57</v>
      </c>
      <c r="AF36">
        <v>493</v>
      </c>
      <c r="AG36" t="s">
        <v>50</v>
      </c>
      <c r="AH36" s="1">
        <v>46006</v>
      </c>
      <c r="AI36" t="s">
        <v>51</v>
      </c>
    </row>
    <row r="37" spans="1:35" ht="15.75" hidden="1" x14ac:dyDescent="0.25">
      <c r="A37" t="s">
        <v>35</v>
      </c>
      <c r="B37" t="s">
        <v>36</v>
      </c>
      <c r="C37" t="s">
        <v>226</v>
      </c>
      <c r="D37" t="s">
        <v>38</v>
      </c>
      <c r="E37" t="s">
        <v>39</v>
      </c>
      <c r="F37" t="s">
        <v>40</v>
      </c>
      <c r="G37" t="s">
        <v>227</v>
      </c>
      <c r="H37" t="s">
        <v>228</v>
      </c>
      <c r="I37" t="s">
        <v>229</v>
      </c>
      <c r="J37" t="s">
        <v>230</v>
      </c>
      <c r="K37" s="1">
        <v>45998.610092442126</v>
      </c>
      <c r="L37" s="1">
        <v>45998.857511458336</v>
      </c>
      <c r="M37" t="s">
        <v>45</v>
      </c>
      <c r="N37" t="s">
        <v>71</v>
      </c>
      <c r="O37">
        <v>530</v>
      </c>
      <c r="P37">
        <v>0</v>
      </c>
      <c r="Q37" t="s">
        <v>72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73</v>
      </c>
      <c r="AA37">
        <v>0</v>
      </c>
      <c r="AB37" t="s">
        <v>48</v>
      </c>
      <c r="AC37" t="s">
        <v>48</v>
      </c>
      <c r="AD37">
        <v>0</v>
      </c>
      <c r="AE37">
        <v>61.56</v>
      </c>
      <c r="AF37">
        <v>468.44</v>
      </c>
      <c r="AG37" t="s">
        <v>50</v>
      </c>
      <c r="AH37" s="1">
        <v>46006</v>
      </c>
      <c r="AI37" t="s">
        <v>51</v>
      </c>
    </row>
    <row r="38" spans="1:35" ht="15.75" hidden="1" x14ac:dyDescent="0.25">
      <c r="A38" t="s">
        <v>35</v>
      </c>
      <c r="B38" t="s">
        <v>36</v>
      </c>
      <c r="C38" t="s">
        <v>231</v>
      </c>
      <c r="D38" t="s">
        <v>38</v>
      </c>
      <c r="E38" t="s">
        <v>39</v>
      </c>
      <c r="F38" t="s">
        <v>40</v>
      </c>
      <c r="G38" t="s">
        <v>232</v>
      </c>
      <c r="H38" t="s">
        <v>233</v>
      </c>
      <c r="I38" t="s">
        <v>234</v>
      </c>
      <c r="J38" t="s">
        <v>235</v>
      </c>
      <c r="K38" s="1">
        <v>45998.582871574072</v>
      </c>
      <c r="L38" s="1">
        <v>45998.863130486112</v>
      </c>
      <c r="M38" t="s">
        <v>45</v>
      </c>
      <c r="N38" t="s">
        <v>236</v>
      </c>
      <c r="O38">
        <v>550</v>
      </c>
      <c r="P38">
        <v>0</v>
      </c>
      <c r="Q38" t="s">
        <v>58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59</v>
      </c>
      <c r="AA38">
        <v>0</v>
      </c>
      <c r="AB38" t="s">
        <v>48</v>
      </c>
      <c r="AC38" t="s">
        <v>48</v>
      </c>
      <c r="AD38">
        <v>0</v>
      </c>
      <c r="AE38">
        <v>68.400000000000006</v>
      </c>
      <c r="AF38">
        <v>481.6</v>
      </c>
      <c r="AG38" t="s">
        <v>50</v>
      </c>
      <c r="AH38" s="1">
        <v>46006</v>
      </c>
      <c r="AI38" t="s">
        <v>51</v>
      </c>
    </row>
    <row r="39" spans="1:35" ht="15.75" hidden="1" x14ac:dyDescent="0.25">
      <c r="A39" t="s">
        <v>35</v>
      </c>
      <c r="B39" t="s">
        <v>36</v>
      </c>
      <c r="C39" t="s">
        <v>237</v>
      </c>
      <c r="D39" t="s">
        <v>38</v>
      </c>
      <c r="E39" t="s">
        <v>39</v>
      </c>
      <c r="F39" t="s">
        <v>40</v>
      </c>
      <c r="G39" t="s">
        <v>238</v>
      </c>
      <c r="H39" t="s">
        <v>239</v>
      </c>
      <c r="I39" t="s">
        <v>240</v>
      </c>
      <c r="J39" t="s">
        <v>241</v>
      </c>
      <c r="K39" s="1">
        <v>45998.411118900462</v>
      </c>
      <c r="L39" s="1">
        <v>45998.873972118054</v>
      </c>
      <c r="M39" t="s">
        <v>45</v>
      </c>
      <c r="N39" t="s">
        <v>65</v>
      </c>
      <c r="O39">
        <v>550</v>
      </c>
      <c r="P39">
        <v>0</v>
      </c>
      <c r="Q39" t="s">
        <v>47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49</v>
      </c>
      <c r="AA39">
        <v>0</v>
      </c>
      <c r="AB39" t="s">
        <v>48</v>
      </c>
      <c r="AC39" t="s">
        <v>48</v>
      </c>
      <c r="AD39">
        <v>0</v>
      </c>
      <c r="AE39">
        <v>57</v>
      </c>
      <c r="AF39">
        <v>493</v>
      </c>
      <c r="AG39" t="s">
        <v>50</v>
      </c>
      <c r="AH39" s="1">
        <v>46006</v>
      </c>
      <c r="AI39" t="s">
        <v>51</v>
      </c>
    </row>
    <row r="40" spans="1:35" ht="15.75" hidden="1" x14ac:dyDescent="0.25">
      <c r="A40" t="s">
        <v>35</v>
      </c>
      <c r="B40" t="s">
        <v>36</v>
      </c>
      <c r="C40" t="s">
        <v>242</v>
      </c>
      <c r="D40" t="s">
        <v>38</v>
      </c>
      <c r="E40" t="s">
        <v>39</v>
      </c>
      <c r="F40" t="s">
        <v>40</v>
      </c>
      <c r="G40" t="s">
        <v>243</v>
      </c>
      <c r="H40" t="s">
        <v>129</v>
      </c>
      <c r="I40" t="s">
        <v>244</v>
      </c>
      <c r="J40" t="s">
        <v>245</v>
      </c>
      <c r="K40" s="1">
        <v>45998.515186539349</v>
      </c>
      <c r="L40" s="1">
        <v>45998.90625</v>
      </c>
      <c r="M40" t="s">
        <v>45</v>
      </c>
      <c r="N40" t="s">
        <v>246</v>
      </c>
      <c r="O40">
        <v>550</v>
      </c>
      <c r="P40">
        <v>0</v>
      </c>
      <c r="Q40" t="s">
        <v>58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59</v>
      </c>
      <c r="AB40" t="s">
        <v>48</v>
      </c>
      <c r="AC40" t="s">
        <v>48</v>
      </c>
      <c r="AD40">
        <v>0</v>
      </c>
      <c r="AE40">
        <v>68.400000000000006</v>
      </c>
      <c r="AF40">
        <v>481.6</v>
      </c>
      <c r="AG40" t="s">
        <v>50</v>
      </c>
      <c r="AH40" s="1">
        <v>46006</v>
      </c>
      <c r="AI40" t="s">
        <v>51</v>
      </c>
    </row>
    <row r="41" spans="1:35" ht="15.75" hidden="1" x14ac:dyDescent="0.25">
      <c r="A41" t="s">
        <v>35</v>
      </c>
      <c r="B41" t="s">
        <v>36</v>
      </c>
      <c r="C41" t="s">
        <v>247</v>
      </c>
      <c r="D41" t="s">
        <v>38</v>
      </c>
      <c r="E41" t="s">
        <v>39</v>
      </c>
      <c r="F41" t="s">
        <v>40</v>
      </c>
      <c r="G41" t="s">
        <v>248</v>
      </c>
      <c r="H41" t="s">
        <v>228</v>
      </c>
      <c r="I41" t="s">
        <v>249</v>
      </c>
      <c r="J41" t="s">
        <v>250</v>
      </c>
      <c r="K41" s="1">
        <v>45998.817203993058</v>
      </c>
      <c r="L41" s="1">
        <v>45998.913837222222</v>
      </c>
      <c r="M41" t="s">
        <v>45</v>
      </c>
      <c r="N41" t="s">
        <v>251</v>
      </c>
      <c r="O41">
        <v>530</v>
      </c>
      <c r="P41">
        <v>0</v>
      </c>
      <c r="Q41" t="s">
        <v>252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253</v>
      </c>
      <c r="AA41">
        <v>0</v>
      </c>
      <c r="AB41" t="s">
        <v>48</v>
      </c>
      <c r="AC41" t="s">
        <v>48</v>
      </c>
      <c r="AD41">
        <v>0</v>
      </c>
      <c r="AE41">
        <v>80.94</v>
      </c>
      <c r="AF41">
        <v>449.06</v>
      </c>
      <c r="AG41" t="s">
        <v>50</v>
      </c>
      <c r="AH41" s="1">
        <v>46006</v>
      </c>
      <c r="AI41" t="s">
        <v>51</v>
      </c>
    </row>
  </sheetData>
  <autoFilter ref="G1:G41">
    <filterColumn colId="0">
      <filters>
        <filter val="bos-1044407"/>
        <filter val="bos-1045572"/>
        <filter val="bos-1045905"/>
        <filter val="bos-1045934"/>
        <filter val="bos-1046170"/>
        <filter val="bos-1046515"/>
        <filter val="bos-1047001"/>
        <filter val="bos-1047043"/>
        <filter val="bos-1047132"/>
        <filter val="bos-1047139"/>
      </filters>
    </filterColumn>
  </autoFilter>
  <pageMargins left="0.7" right="0.7" top="0.75" bottom="0.75" header="0.3" footer="0.3"/>
  <ignoredErrors>
    <ignoredError sqref="A1:AI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K1" sqref="K1:N6"/>
    </sheetView>
  </sheetViews>
  <sheetFormatPr defaultRowHeight="15.75" x14ac:dyDescent="0.25"/>
  <cols>
    <col min="13" max="13" width="10.25" bestFit="1" customWidth="1"/>
    <col min="14" max="14" width="18.125" customWidth="1"/>
  </cols>
  <sheetData>
    <row r="1" spans="1:14" ht="18" x14ac:dyDescent="0.25">
      <c r="F1" t="s">
        <v>255</v>
      </c>
      <c r="G1" t="s">
        <v>254</v>
      </c>
      <c r="H1" t="s">
        <v>256</v>
      </c>
      <c r="I1" t="s">
        <v>257</v>
      </c>
      <c r="K1" s="4" t="s">
        <v>262</v>
      </c>
      <c r="L1" s="4"/>
      <c r="M1" s="4"/>
      <c r="N1" s="4"/>
    </row>
    <row r="2" spans="1:14" ht="18.75" x14ac:dyDescent="0.3">
      <c r="A2">
        <v>550</v>
      </c>
      <c r="F2" t="s">
        <v>54</v>
      </c>
      <c r="G2">
        <v>1</v>
      </c>
      <c r="K2" s="5" t="s">
        <v>258</v>
      </c>
      <c r="L2" s="5" t="s">
        <v>259</v>
      </c>
      <c r="M2" s="5" t="s">
        <v>260</v>
      </c>
      <c r="N2" s="5" t="s">
        <v>261</v>
      </c>
    </row>
    <row r="3" spans="1:14" ht="18.75" x14ac:dyDescent="0.3">
      <c r="A3">
        <v>500</v>
      </c>
      <c r="F3" t="s">
        <v>81</v>
      </c>
      <c r="H3">
        <v>1</v>
      </c>
      <c r="K3" s="5" t="s">
        <v>254</v>
      </c>
      <c r="L3" s="5">
        <v>7</v>
      </c>
      <c r="M3" s="5">
        <v>180</v>
      </c>
      <c r="N3" s="5">
        <f>L3*M3</f>
        <v>1260</v>
      </c>
    </row>
    <row r="4" spans="1:14" ht="18.75" x14ac:dyDescent="0.3">
      <c r="A4">
        <v>550</v>
      </c>
      <c r="F4" t="s">
        <v>109</v>
      </c>
      <c r="G4">
        <v>1</v>
      </c>
      <c r="K4" s="5" t="s">
        <v>256</v>
      </c>
      <c r="L4" s="5">
        <v>23</v>
      </c>
      <c r="M4" s="5">
        <v>180</v>
      </c>
      <c r="N4" s="5">
        <f t="shared" ref="N4:N5" si="0">L4*M4</f>
        <v>4140</v>
      </c>
    </row>
    <row r="5" spans="1:14" ht="18.75" x14ac:dyDescent="0.3">
      <c r="A5">
        <v>550</v>
      </c>
      <c r="F5" t="s">
        <v>81</v>
      </c>
      <c r="H5">
        <v>1</v>
      </c>
      <c r="K5" s="5" t="s">
        <v>257</v>
      </c>
      <c r="L5" s="5">
        <v>6</v>
      </c>
      <c r="M5" s="5">
        <v>195</v>
      </c>
      <c r="N5" s="5">
        <f t="shared" si="0"/>
        <v>1170</v>
      </c>
    </row>
    <row r="6" spans="1:14" ht="18.75" x14ac:dyDescent="0.3">
      <c r="A6">
        <v>550</v>
      </c>
      <c r="F6" t="s">
        <v>123</v>
      </c>
      <c r="H6">
        <v>1</v>
      </c>
      <c r="L6" s="3">
        <f>SUM(L3:L5)</f>
        <v>36</v>
      </c>
      <c r="N6" s="3">
        <f>SUM(N3:N5)</f>
        <v>6570</v>
      </c>
    </row>
    <row r="7" spans="1:14" x14ac:dyDescent="0.25">
      <c r="A7">
        <v>550</v>
      </c>
      <c r="F7" t="s">
        <v>129</v>
      </c>
      <c r="H7">
        <v>1</v>
      </c>
    </row>
    <row r="8" spans="1:14" x14ac:dyDescent="0.25">
      <c r="A8">
        <v>955</v>
      </c>
      <c r="F8" t="s">
        <v>134</v>
      </c>
      <c r="H8">
        <v>2</v>
      </c>
    </row>
    <row r="9" spans="1:14" x14ac:dyDescent="0.25">
      <c r="A9">
        <v>550</v>
      </c>
      <c r="F9" t="s">
        <v>129</v>
      </c>
      <c r="H9">
        <v>1</v>
      </c>
    </row>
    <row r="10" spans="1:14" x14ac:dyDescent="0.25">
      <c r="A10">
        <v>550</v>
      </c>
      <c r="F10" t="s">
        <v>148</v>
      </c>
      <c r="H10">
        <v>1</v>
      </c>
    </row>
    <row r="11" spans="1:14" x14ac:dyDescent="0.25">
      <c r="A11">
        <v>430</v>
      </c>
      <c r="F11" t="s">
        <v>153</v>
      </c>
      <c r="H11">
        <v>1</v>
      </c>
    </row>
    <row r="12" spans="1:14" x14ac:dyDescent="0.25">
      <c r="A12">
        <v>430</v>
      </c>
      <c r="F12" t="s">
        <v>123</v>
      </c>
      <c r="H12">
        <v>1</v>
      </c>
    </row>
    <row r="13" spans="1:14" x14ac:dyDescent="0.25">
      <c r="A13">
        <v>1200.04</v>
      </c>
      <c r="F13" t="s">
        <v>162</v>
      </c>
      <c r="I13">
        <v>3</v>
      </c>
    </row>
    <row r="14" spans="1:14" x14ac:dyDescent="0.25">
      <c r="A14">
        <v>550</v>
      </c>
      <c r="F14" t="s">
        <v>167</v>
      </c>
      <c r="H14">
        <v>1</v>
      </c>
    </row>
    <row r="15" spans="1:14" x14ac:dyDescent="0.25">
      <c r="A15">
        <v>1035</v>
      </c>
      <c r="F15" t="s">
        <v>172</v>
      </c>
      <c r="G15">
        <v>1</v>
      </c>
      <c r="H15">
        <v>1</v>
      </c>
    </row>
    <row r="16" spans="1:14" x14ac:dyDescent="0.25">
      <c r="A16">
        <v>550</v>
      </c>
      <c r="F16" t="s">
        <v>109</v>
      </c>
      <c r="G16">
        <v>1</v>
      </c>
    </row>
    <row r="17" spans="1:9" x14ac:dyDescent="0.25">
      <c r="A17">
        <v>550</v>
      </c>
      <c r="F17" t="s">
        <v>182</v>
      </c>
      <c r="G17">
        <v>1</v>
      </c>
    </row>
    <row r="18" spans="1:9" x14ac:dyDescent="0.25">
      <c r="A18">
        <v>550</v>
      </c>
      <c r="F18" t="s">
        <v>187</v>
      </c>
      <c r="G18">
        <v>1</v>
      </c>
    </row>
    <row r="19" spans="1:9" x14ac:dyDescent="0.25">
      <c r="A19">
        <v>1200</v>
      </c>
      <c r="F19" t="s">
        <v>192</v>
      </c>
      <c r="I19">
        <v>3</v>
      </c>
    </row>
    <row r="20" spans="1:9" x14ac:dyDescent="0.25">
      <c r="A20">
        <v>430</v>
      </c>
      <c r="F20" t="s">
        <v>198</v>
      </c>
      <c r="H20">
        <v>1</v>
      </c>
    </row>
    <row r="21" spans="1:9" x14ac:dyDescent="0.25">
      <c r="A21">
        <v>550</v>
      </c>
      <c r="F21" t="s">
        <v>203</v>
      </c>
      <c r="H21">
        <v>1</v>
      </c>
    </row>
    <row r="22" spans="1:9" x14ac:dyDescent="0.25">
      <c r="A22">
        <v>550</v>
      </c>
      <c r="F22" t="s">
        <v>167</v>
      </c>
      <c r="H22">
        <v>1</v>
      </c>
    </row>
    <row r="23" spans="1:9" x14ac:dyDescent="0.25">
      <c r="A23">
        <v>550</v>
      </c>
      <c r="F23" t="s">
        <v>129</v>
      </c>
      <c r="H23">
        <v>1</v>
      </c>
    </row>
    <row r="24" spans="1:9" x14ac:dyDescent="0.25">
      <c r="A24">
        <v>550</v>
      </c>
      <c r="F24" t="s">
        <v>167</v>
      </c>
      <c r="H24">
        <v>1</v>
      </c>
    </row>
    <row r="25" spans="1:9" x14ac:dyDescent="0.25">
      <c r="A25">
        <v>550</v>
      </c>
      <c r="F25" t="s">
        <v>182</v>
      </c>
      <c r="G25">
        <v>1</v>
      </c>
    </row>
    <row r="26" spans="1:9" x14ac:dyDescent="0.25">
      <c r="A26">
        <v>550</v>
      </c>
      <c r="F26" t="s">
        <v>81</v>
      </c>
      <c r="H26">
        <v>1</v>
      </c>
    </row>
    <row r="27" spans="1:9" x14ac:dyDescent="0.25">
      <c r="A27">
        <v>530</v>
      </c>
      <c r="F27" t="s">
        <v>228</v>
      </c>
      <c r="H27">
        <v>1</v>
      </c>
    </row>
    <row r="28" spans="1:9" x14ac:dyDescent="0.25">
      <c r="A28">
        <v>550</v>
      </c>
      <c r="F28" t="s">
        <v>233</v>
      </c>
      <c r="H28">
        <v>1</v>
      </c>
    </row>
    <row r="29" spans="1:9" x14ac:dyDescent="0.25">
      <c r="A29">
        <v>550</v>
      </c>
      <c r="F29" t="s">
        <v>239</v>
      </c>
      <c r="H29">
        <v>1</v>
      </c>
    </row>
    <row r="30" spans="1:9" x14ac:dyDescent="0.25">
      <c r="A30">
        <v>550</v>
      </c>
      <c r="F30" t="s">
        <v>129</v>
      </c>
      <c r="H30">
        <v>1</v>
      </c>
    </row>
    <row r="31" spans="1:9" x14ac:dyDescent="0.25">
      <c r="A31">
        <v>530</v>
      </c>
      <c r="F31" t="s">
        <v>228</v>
      </c>
      <c r="H31">
        <v>1</v>
      </c>
    </row>
    <row r="32" spans="1:9" x14ac:dyDescent="0.25">
      <c r="G32" s="2">
        <f>SUM(G2:G31)</f>
        <v>7</v>
      </c>
      <c r="H32" s="2">
        <f>SUM(H2:H31)</f>
        <v>23</v>
      </c>
      <c r="I32" s="2">
        <f>SUM(I2:I31)</f>
        <v>6</v>
      </c>
    </row>
  </sheetData>
  <autoFilter ref="F1:F32"/>
  <mergeCells count="1"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Cycles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ENG-Amira</dc:creator>
  <cp:lastModifiedBy>ENG-Amira</cp:lastModifiedBy>
  <dcterms:created xsi:type="dcterms:W3CDTF">2025-12-10T16:30:56Z</dcterms:created>
  <dcterms:modified xsi:type="dcterms:W3CDTF">2025-12-10T16:40:03Z</dcterms:modified>
</cp:coreProperties>
</file>