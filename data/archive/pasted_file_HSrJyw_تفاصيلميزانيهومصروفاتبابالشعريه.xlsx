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W SHOES\Desktop\"/>
    </mc:Choice>
  </mc:AlternateContent>
  <xr:revisionPtr revIDLastSave="0" documentId="13_ncr:1_{2BEB5E62-B8BF-43A1-BE82-778E4D0A8C19}" xr6:coauthVersionLast="47" xr6:coauthVersionMax="47" xr10:uidLastSave="{00000000-0000-0000-0000-000000000000}"/>
  <bookViews>
    <workbookView xWindow="-108" yWindow="-108" windowWidth="22428" windowHeight="12576" activeTab="4" xr2:uid="{41331301-6C47-4DC8-9277-F4531000F25B}"/>
  </bookViews>
  <sheets>
    <sheet name="جرد " sheetId="1" r:id="rId1"/>
    <sheet name="ملاحظات المصروفات " sheetId="4" r:id="rId2"/>
    <sheet name="تحليل المصروفات" sheetId="3" r:id="rId3"/>
    <sheet name="تحصيلات " sheetId="2" r:id="rId4"/>
    <sheet name="الميزانيه" sheetId="5" r:id="rId5"/>
  </sheets>
  <externalReferences>
    <externalReference r:id="rId6"/>
  </externalReferences>
  <definedNames>
    <definedName name="sum">'ملاحظات المصروفات '!$F$14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" i="5" l="1"/>
  <c r="G16" i="5" s="1"/>
  <c r="B7" i="5"/>
  <c r="B5" i="5"/>
  <c r="B3" i="5"/>
  <c r="B2" i="5"/>
  <c r="B8" i="5" s="1"/>
  <c r="F14" i="4"/>
  <c r="F12" i="4" l="1"/>
  <c r="F5" i="4"/>
  <c r="A351" i="3" l="1"/>
  <c r="A355" i="3"/>
  <c r="A354" i="3"/>
  <c r="A352" i="3"/>
  <c r="F1" i="4" l="1"/>
  <c r="A353" i="3"/>
  <c r="A350" i="3"/>
  <c r="B7" i="4"/>
  <c r="B4" i="4"/>
  <c r="B12" i="4" s="1"/>
  <c r="B14" i="4" s="1"/>
  <c r="B3" i="4"/>
  <c r="B2" i="4"/>
  <c r="D48" i="2"/>
  <c r="D49" i="2" s="1"/>
  <c r="A357" i="3"/>
  <c r="A359" i="3"/>
</calcChain>
</file>

<file path=xl/sharedStrings.xml><?xml version="1.0" encoding="utf-8"?>
<sst xmlns="http://schemas.openxmlformats.org/spreadsheetml/2006/main" count="1268" uniqueCount="547">
  <si>
    <t>الصنف</t>
  </si>
  <si>
    <t>الكمية</t>
  </si>
  <si>
    <t>a1</t>
  </si>
  <si>
    <t>a5</t>
  </si>
  <si>
    <t>ama2</t>
  </si>
  <si>
    <t>ama3</t>
  </si>
  <si>
    <t>ama4</t>
  </si>
  <si>
    <t>ama5</t>
  </si>
  <si>
    <t>ama6</t>
  </si>
  <si>
    <t>ama7</t>
  </si>
  <si>
    <t>AMA 8</t>
  </si>
  <si>
    <t>bm5</t>
  </si>
  <si>
    <t>bo1</t>
  </si>
  <si>
    <t>bo4</t>
  </si>
  <si>
    <t>bo5</t>
  </si>
  <si>
    <t>bo6</t>
  </si>
  <si>
    <t>d2</t>
  </si>
  <si>
    <t>d4</t>
  </si>
  <si>
    <t>ds1</t>
  </si>
  <si>
    <t>ds10</t>
  </si>
  <si>
    <t>ds3</t>
  </si>
  <si>
    <t>ds6</t>
  </si>
  <si>
    <t>ds8</t>
  </si>
  <si>
    <t>g1</t>
  </si>
  <si>
    <t>g2</t>
  </si>
  <si>
    <t>g3</t>
  </si>
  <si>
    <t>g4</t>
  </si>
  <si>
    <t>g5</t>
  </si>
  <si>
    <t>hf4</t>
  </si>
  <si>
    <t>ho1</t>
  </si>
  <si>
    <t>ho3</t>
  </si>
  <si>
    <t>k1</t>
  </si>
  <si>
    <t>k2</t>
  </si>
  <si>
    <t>kz6</t>
  </si>
  <si>
    <t>l10</t>
  </si>
  <si>
    <t>l12</t>
  </si>
  <si>
    <t>l2</t>
  </si>
  <si>
    <t>lx2</t>
  </si>
  <si>
    <t>MX</t>
  </si>
  <si>
    <t>n8</t>
  </si>
  <si>
    <t>No1</t>
  </si>
  <si>
    <t>sk1</t>
  </si>
  <si>
    <t>sk12</t>
  </si>
  <si>
    <t>sk16</t>
  </si>
  <si>
    <t>sk4</t>
  </si>
  <si>
    <t>sk5</t>
  </si>
  <si>
    <t>sk6</t>
  </si>
  <si>
    <t>sk7</t>
  </si>
  <si>
    <t>w3</t>
  </si>
  <si>
    <t>w4</t>
  </si>
  <si>
    <t>ستيل اولادى</t>
  </si>
  <si>
    <t>ستيل رجالى</t>
  </si>
  <si>
    <t>شرا العريان</t>
  </si>
  <si>
    <t>صابوه</t>
  </si>
  <si>
    <t>القيمة</t>
  </si>
  <si>
    <t>البيان</t>
  </si>
  <si>
    <t>الحساب التحليلى</t>
  </si>
  <si>
    <t>الحساب</t>
  </si>
  <si>
    <t>فاتورة اتصالات المعرض</t>
  </si>
  <si>
    <t/>
  </si>
  <si>
    <t>تليفون وانترنت</t>
  </si>
  <si>
    <t>مصروفات عمومية وادارية</t>
  </si>
  <si>
    <t>ادوات بناء</t>
  </si>
  <si>
    <t>مصروفات اصلاح وصيانة</t>
  </si>
  <si>
    <t>ادوات مكتبية</t>
  </si>
  <si>
    <t>ادوات مكتبية ومطبوعات</t>
  </si>
  <si>
    <t>ادوات عرض</t>
  </si>
  <si>
    <t>مرتجع بوليصة</t>
  </si>
  <si>
    <t>م. شحن وتوصيل</t>
  </si>
  <si>
    <t>قفل للمخزن</t>
  </si>
  <si>
    <t>فرق استبدال جوز</t>
  </si>
  <si>
    <t>نقدى باب الشعرية</t>
  </si>
  <si>
    <t>عملاء المصنع</t>
  </si>
  <si>
    <t>دفعه لسيارة الوردية</t>
  </si>
  <si>
    <t>ايجار سيارة</t>
  </si>
  <si>
    <t>التكاليف الصناعية</t>
  </si>
  <si>
    <t>صيانة ابواب صاج</t>
  </si>
  <si>
    <t>صيانة نجارة باب خشب</t>
  </si>
  <si>
    <t>تعديل باب السكريت</t>
  </si>
  <si>
    <t>مستلزمات التعديل</t>
  </si>
  <si>
    <t>دفعة لسيارة الوردية</t>
  </si>
  <si>
    <t>مستلزمات</t>
  </si>
  <si>
    <t>ادوات نظافة</t>
  </si>
  <si>
    <t>بضاعة نقاشة</t>
  </si>
  <si>
    <t>مصنعية نقاشة</t>
  </si>
  <si>
    <t>باقي مصنعية</t>
  </si>
  <si>
    <t>مسمار</t>
  </si>
  <si>
    <t>زيارة م احمد شوقي</t>
  </si>
  <si>
    <t>بوفيه وضيافة</t>
  </si>
  <si>
    <t>ايجار سيارة الوردية</t>
  </si>
  <si>
    <t>زيارة م/احمد شوقي</t>
  </si>
  <si>
    <t>كراسي للمعرض</t>
  </si>
  <si>
    <t>اثاث وتجهيزات مكتبية</t>
  </si>
  <si>
    <t>فاتورة موبيل المعرض</t>
  </si>
  <si>
    <t>م. نظافة</t>
  </si>
  <si>
    <t>بضاغة كهرباء</t>
  </si>
  <si>
    <t>كهرباء ومياه</t>
  </si>
  <si>
    <t>نقل الي شركة الشحن ظافر</t>
  </si>
  <si>
    <t>نقل ومشال</t>
  </si>
  <si>
    <t>مصنعية كهربائي</t>
  </si>
  <si>
    <t>دفعة من سيارة الوردية</t>
  </si>
  <si>
    <t>بيان شراء تليفون سمارت</t>
  </si>
  <si>
    <t>اجهزة تليفون محمول</t>
  </si>
  <si>
    <t>عامل بالبوميه</t>
  </si>
  <si>
    <t>أجور يومية وموسمية</t>
  </si>
  <si>
    <t>نقل شحنة البراك</t>
  </si>
  <si>
    <t>مصروفات شحن البراك</t>
  </si>
  <si>
    <t>صيانة تروسيكل</t>
  </si>
  <si>
    <t>مصروفات دراجة نارية</t>
  </si>
  <si>
    <t>فاتورة كهرباء</t>
  </si>
  <si>
    <t>زيارة ا/احمد النجار</t>
  </si>
  <si>
    <t>شحن البراق 3258618-5220</t>
  </si>
  <si>
    <t>شراء قفل صندوق سبارة</t>
  </si>
  <si>
    <t>سيارة نقل بضاعة للمعرض</t>
  </si>
  <si>
    <t>النقل والمشال</t>
  </si>
  <si>
    <t>5ايام جراج</t>
  </si>
  <si>
    <t>م. سيارة</t>
  </si>
  <si>
    <t>دفعة سيارة ربع نقل</t>
  </si>
  <si>
    <t>مصروف بوليصة ايرجنت6304445</t>
  </si>
  <si>
    <t>م. شحن - باب الشعرية</t>
  </si>
  <si>
    <t>مصروفات بيعية وتسويقية</t>
  </si>
  <si>
    <t>مصاريف شحن البراك</t>
  </si>
  <si>
    <t>ايجار سيارة المندوب</t>
  </si>
  <si>
    <t>مصاريف شحن</t>
  </si>
  <si>
    <t>م. اعلان</t>
  </si>
  <si>
    <t>دفعة لسيارة المندوب</t>
  </si>
  <si>
    <t>مرتجع البراك</t>
  </si>
  <si>
    <t>دفعة من ايجار معرض باب الشعرية</t>
  </si>
  <si>
    <t>ايجارات</t>
  </si>
  <si>
    <t>مرتجع البراق</t>
  </si>
  <si>
    <t>مصروف تحصيل شركه البراق3262970</t>
  </si>
  <si>
    <t>مصروف تحصيل شركه البراق 3263576</t>
  </si>
  <si>
    <t>5341مرتجع من بيان تسليم</t>
  </si>
  <si>
    <t>دفعه ايجار سياره ورديه باب الشعرية</t>
  </si>
  <si>
    <t>شحن البراق 3266177</t>
  </si>
  <si>
    <t>شحن البراق 3266104</t>
  </si>
  <si>
    <t>شحن البراق  3266466</t>
  </si>
  <si>
    <t>شراء جهاز بصمه انصراف وحضور</t>
  </si>
  <si>
    <t>اجهزة كهربائية</t>
  </si>
  <si>
    <t>رد تحصيل 5220 بوليصه للبراق 3258618</t>
  </si>
  <si>
    <t>ش البراق للشحن  فرع باب الشعرية</t>
  </si>
  <si>
    <t>مرتجع كوتشي</t>
  </si>
  <si>
    <t>صيانة الانترنت</t>
  </si>
  <si>
    <t>دفعه من ايجار المعرض باب الشعرية</t>
  </si>
  <si>
    <t>تحصيل بوليصة البراق</t>
  </si>
  <si>
    <t>دفعة ايجار سيارة فريد</t>
  </si>
  <si>
    <t>دفعة ايجار المعرض</t>
  </si>
  <si>
    <t>مرتجع البراق 5316</t>
  </si>
  <si>
    <t>مصروف للتروسيكل</t>
  </si>
  <si>
    <t>مصروفات متنوعة 12-2023</t>
  </si>
  <si>
    <t>مرتجع جزئي اونلين</t>
  </si>
  <si>
    <t>مرتجعات البراق 3268563/5321</t>
  </si>
  <si>
    <t>مرتجع البراق 3266104-5313</t>
  </si>
  <si>
    <t>مصاريف شحن تحصيل البراق 5325</t>
  </si>
  <si>
    <t>تحصيل شركة البراق 3268172</t>
  </si>
  <si>
    <t>فاتورة كهرباء المعرض</t>
  </si>
  <si>
    <t>فريد سمير دفعة ايجار سيارة الوردية</t>
  </si>
  <si>
    <t>مصاريف فودافون كاش 5320</t>
  </si>
  <si>
    <t>-5326-تحصيل بوليصه شركه البراق   3270871</t>
  </si>
  <si>
    <t>تحصيل بوليصه شركه ميت غمر  5317</t>
  </si>
  <si>
    <t>عهده عمرو مصباح</t>
  </si>
  <si>
    <t>عهدة عمرو مصباح</t>
  </si>
  <si>
    <t>عهد</t>
  </si>
  <si>
    <t>تحصيل البراق 3272952</t>
  </si>
  <si>
    <t>عمرو احمد مدبولي مصباح ابراهيم</t>
  </si>
  <si>
    <t>دفعة سيارة الوردية</t>
  </si>
  <si>
    <t>مصروفات شحن البراق 3272745-5334</t>
  </si>
  <si>
    <t>مصروفات شحن البراق 3273147-5337</t>
  </si>
  <si>
    <t>فاتورة انترنت المعرض</t>
  </si>
  <si>
    <t>شحن ماكينة فوري اعلانات</t>
  </si>
  <si>
    <t>دفعة محمد فريد وردية</t>
  </si>
  <si>
    <t>تحصيل البراق 3272055</t>
  </si>
  <si>
    <t>استراجاع اوردر</t>
  </si>
  <si>
    <t>مبيعات اونلاين</t>
  </si>
  <si>
    <t>مبيعات</t>
  </si>
  <si>
    <t>ضيافة احمد النجار واسلام شوقي</t>
  </si>
  <si>
    <t>مرتجعات عملاء اونلين</t>
  </si>
  <si>
    <t>مصاريف شحن 455</t>
  </si>
  <si>
    <t>مصاريف شحن 453</t>
  </si>
  <si>
    <t>تكاليف تغليف اوردر لبيا</t>
  </si>
  <si>
    <t>مصروفات اضائة امام المحل</t>
  </si>
  <si>
    <t>خياظة عينات نعل ا/احمد النجار</t>
  </si>
  <si>
    <t>تشغيل لدى الغير</t>
  </si>
  <si>
    <t>مصاريف شحن 5349</t>
  </si>
  <si>
    <t>مصاريف شحن 451-452</t>
  </si>
  <si>
    <t>دفعه ايجار المحل باب الشعرية فبراير</t>
  </si>
  <si>
    <t>مرتجع 5857</t>
  </si>
  <si>
    <t>مصاريف شحن 464</t>
  </si>
  <si>
    <t>مصاريف شحن 463</t>
  </si>
  <si>
    <t>مصاريف شحن 457</t>
  </si>
  <si>
    <t>تصليح كالون الخزينة</t>
  </si>
  <si>
    <t>عمل نسخ مفاتيح</t>
  </si>
  <si>
    <t>شحن 3275159-470</t>
  </si>
  <si>
    <t>مرتجع انعام صلاح 5865</t>
  </si>
  <si>
    <t>مصاريف شحن 475-476</t>
  </si>
  <si>
    <t>اسبلير+وصلة تليفون+شنطة</t>
  </si>
  <si>
    <t>مرتجع 3276952-490</t>
  </si>
  <si>
    <t>قمامة</t>
  </si>
  <si>
    <t>بيان استبدال 5872</t>
  </si>
  <si>
    <t>صناعة اختام ا/احمد النجار</t>
  </si>
  <si>
    <t>شحن حسام 486</t>
  </si>
  <si>
    <t>شحن عمرو 467</t>
  </si>
  <si>
    <t>شحن سامح 471</t>
  </si>
  <si>
    <t>480</t>
  </si>
  <si>
    <t>479</t>
  </si>
  <si>
    <t>481</t>
  </si>
  <si>
    <t>485</t>
  </si>
  <si>
    <t>469</t>
  </si>
  <si>
    <t>489</t>
  </si>
  <si>
    <t>487-488</t>
  </si>
  <si>
    <t>دفعة ايجار باب الشعرية</t>
  </si>
  <si>
    <t>ادوات لطلبية النيجر</t>
  </si>
  <si>
    <t>مواد ومهمات</t>
  </si>
  <si>
    <t>مصروفات الشحن 3277540</t>
  </si>
  <si>
    <t>مصروفات الشحن 3277543</t>
  </si>
  <si>
    <t>مصروفات الشحن 3276958</t>
  </si>
  <si>
    <t>5879</t>
  </si>
  <si>
    <t>شحن 3279183</t>
  </si>
  <si>
    <t>شحن 3279182</t>
  </si>
  <si>
    <t>مصاريف مرتجع 3274330-5883</t>
  </si>
  <si>
    <t>مصاريف مرتجع 5884</t>
  </si>
  <si>
    <t>مصاريف مرتجع 5885</t>
  </si>
  <si>
    <t>مصاريف مرتجع 5886</t>
  </si>
  <si>
    <t>مصاريف مرتجع 5887</t>
  </si>
  <si>
    <t>مصاريف شحن 9</t>
  </si>
  <si>
    <t>مصاريف تحصيل 492</t>
  </si>
  <si>
    <t>مصاريف تحصيل 5</t>
  </si>
  <si>
    <t>مصاريف تحصيل 6</t>
  </si>
  <si>
    <t>مصاريف شحن 32280771-18</t>
  </si>
  <si>
    <t>عدد وادوات للجزمجية</t>
  </si>
  <si>
    <t>مصاريف مرتجع 5890-3279182</t>
  </si>
  <si>
    <t>مصروفات تحصيل 473</t>
  </si>
  <si>
    <t>مصروفات تحصيل 11</t>
  </si>
  <si>
    <t>مصروفات تحصيل 9</t>
  </si>
  <si>
    <t>مصروفات تحصيل 10</t>
  </si>
  <si>
    <t>مصروفات تحصيل 14</t>
  </si>
  <si>
    <t>ايجار فرع باب الشعريه</t>
  </si>
  <si>
    <t>مصاريف تحصيل 16</t>
  </si>
  <si>
    <t>مصاريف تحصيل 24</t>
  </si>
  <si>
    <t>مصاريف تحصيل 19</t>
  </si>
  <si>
    <t>مصاريف تحصيل 20</t>
  </si>
  <si>
    <t>مصاريف تحصيل 17</t>
  </si>
  <si>
    <t>مصاريف مرتجع 3279182</t>
  </si>
  <si>
    <t>مصاريف تحصيل 18</t>
  </si>
  <si>
    <t>مصاريف مرتجع 5893</t>
  </si>
  <si>
    <t>مصاريف مرتجع 5895</t>
  </si>
  <si>
    <t>نقل نعل من واثر الي فرع باب الشعرية</t>
  </si>
  <si>
    <t>مصروفات بوفية</t>
  </si>
  <si>
    <t>عمولة مرتجع 5896</t>
  </si>
  <si>
    <t>عمولة مرتجع 5897</t>
  </si>
  <si>
    <t>عمولة شحن 42-43</t>
  </si>
  <si>
    <t>عمولة شحن 44</t>
  </si>
  <si>
    <t>مرتجع 5900</t>
  </si>
  <si>
    <t>شادى عمرو عبد الرحمن=01110218046</t>
  </si>
  <si>
    <t>اكرامية لتخليص الميزانية طارق سعد</t>
  </si>
  <si>
    <t>م اكرامية</t>
  </si>
  <si>
    <t>عمولة تحصيل 32</t>
  </si>
  <si>
    <t>عمولة تحصيل 31</t>
  </si>
  <si>
    <t>استبدل مصطفي مختار 5903</t>
  </si>
  <si>
    <t>عمولة شحن 54</t>
  </si>
  <si>
    <t>عمولة شحن 55</t>
  </si>
  <si>
    <t>اكرامية شركة الشحن</t>
  </si>
  <si>
    <t>عمولة مرتجع 5904</t>
  </si>
  <si>
    <t>عمولة مرتجع 5906</t>
  </si>
  <si>
    <t>عمولة شحن 52-53</t>
  </si>
  <si>
    <t>عمولة تحصيل39</t>
  </si>
  <si>
    <t>عمولة تحصيل37</t>
  </si>
  <si>
    <t>عمولة تحصيل38</t>
  </si>
  <si>
    <t>عمولة تحصيل41</t>
  </si>
  <si>
    <t>عمولة تحصيل48</t>
  </si>
  <si>
    <t>عمولة تحصيل44</t>
  </si>
  <si>
    <t>عمولة تحصيل49</t>
  </si>
  <si>
    <t>نقل احذية شهد</t>
  </si>
  <si>
    <t>اكرامية سواق ديزرت</t>
  </si>
  <si>
    <t>فاتورة انترنت</t>
  </si>
  <si>
    <t>تصفير الخزينة باب الشعرية</t>
  </si>
  <si>
    <t>مبيعات باب الشعرية</t>
  </si>
  <si>
    <t>مصروفات التحصيل 54</t>
  </si>
  <si>
    <t>مرتجع 5910</t>
  </si>
  <si>
    <t>محمد حسين=01028371433</t>
  </si>
  <si>
    <t>مصروفات تحصيل 56</t>
  </si>
  <si>
    <t>مصروفات تحصيل 60+61</t>
  </si>
  <si>
    <t>مصروفات مرتجع 5912</t>
  </si>
  <si>
    <t>صيانة حاسب الي الفرع</t>
  </si>
  <si>
    <t>مصروفات تحصيل 70-71</t>
  </si>
  <si>
    <t>مصروفات تحصيل 65</t>
  </si>
  <si>
    <t>مصروفات تحصيل62</t>
  </si>
  <si>
    <t>مصروفات تحصيل36</t>
  </si>
  <si>
    <t>مصروفات تحصيل67</t>
  </si>
  <si>
    <t>مصروفات تحصيل58</t>
  </si>
  <si>
    <t>مصروفات تحصيل63</t>
  </si>
  <si>
    <t>مصروفات تحصيل5915</t>
  </si>
  <si>
    <t>مصروفات تحصيل5916</t>
  </si>
  <si>
    <t>دفعه ايجار الفرع</t>
  </si>
  <si>
    <t>مصروفات بوفيه</t>
  </si>
  <si>
    <t>مصاريف تحصيل 43</t>
  </si>
  <si>
    <t>مصاريف تحصيل 79</t>
  </si>
  <si>
    <t>مصاريف تحصيل 76</t>
  </si>
  <si>
    <t>مصاريف تحصيل 77</t>
  </si>
  <si>
    <t>وجبة افطار</t>
  </si>
  <si>
    <t>اكراميةفرع ايرجنت</t>
  </si>
  <si>
    <t>مصاريف تحصيل 83</t>
  </si>
  <si>
    <t>مصاريف تحصيل 78</t>
  </si>
  <si>
    <t>مصاريف تحصيل 64</t>
  </si>
  <si>
    <t>مرتجع 5919</t>
  </si>
  <si>
    <t>فاتورة اتصالات خط عمرو</t>
  </si>
  <si>
    <t>مرتجع 5920</t>
  </si>
  <si>
    <t>مصاريف مرتجع 5925</t>
  </si>
  <si>
    <t>مصاريف مرتجع 5926</t>
  </si>
  <si>
    <t>مصاريف نقل شحن محل ستراند 99</t>
  </si>
  <si>
    <t>مصاريف تحصيل 50</t>
  </si>
  <si>
    <t>مصاريف تحصيل 85</t>
  </si>
  <si>
    <t>مصاريف تحصيل 87</t>
  </si>
  <si>
    <t>افطار 6 افراد</t>
  </si>
  <si>
    <t>صرف نقدى  موزه (احمدالنجار)</t>
  </si>
  <si>
    <t>ايجار باب الشعرية</t>
  </si>
  <si>
    <t>مصروف تحصيل 97</t>
  </si>
  <si>
    <t>مصروف تحصيل 99</t>
  </si>
  <si>
    <t>مصروف مرتجع5933</t>
  </si>
  <si>
    <t>مصروف تحصيل 93</t>
  </si>
  <si>
    <t>مصروف تحصيل 84</t>
  </si>
  <si>
    <t>مصروف مرتجع 5934</t>
  </si>
  <si>
    <t>وجبة الافطار 4افراد</t>
  </si>
  <si>
    <t>مصاريف مرتجع 5935</t>
  </si>
  <si>
    <t>مصروفات تحصيل</t>
  </si>
  <si>
    <t>وجبة افطار 6 افراد</t>
  </si>
  <si>
    <t>مصاريف تحصيل 89</t>
  </si>
  <si>
    <t>مصاريف تحصيل 91</t>
  </si>
  <si>
    <t>مرتجع81</t>
  </si>
  <si>
    <t>مرتجع 107</t>
  </si>
  <si>
    <t>مرتجع 114</t>
  </si>
  <si>
    <t>مرتجع 55</t>
  </si>
  <si>
    <t>مرتجع 103</t>
  </si>
  <si>
    <t>مرتجع 93</t>
  </si>
  <si>
    <t>مرتجع 92</t>
  </si>
  <si>
    <t>وجبة افطار 5 افراد</t>
  </si>
  <si>
    <t>تحصيل 100</t>
  </si>
  <si>
    <t>تحصيل 106</t>
  </si>
  <si>
    <t>مرتجع طارق</t>
  </si>
  <si>
    <t>تحصيل 110+109+108</t>
  </si>
  <si>
    <t>مصاريف شحن 110+109+108</t>
  </si>
  <si>
    <t>اجرة سيارة نقل</t>
  </si>
  <si>
    <t>تحصيل 112</t>
  </si>
  <si>
    <t>افطار 4افراد</t>
  </si>
  <si>
    <t>مصاريف تحصيل 111</t>
  </si>
  <si>
    <t>مصاريف تحصيل 104</t>
  </si>
  <si>
    <t>مصاريف تحصيل 115</t>
  </si>
  <si>
    <t>مصاريف تحصيل 116</t>
  </si>
  <si>
    <t>مصاريف تحصيل 82</t>
  </si>
  <si>
    <t>مصاريف تحصيل 47</t>
  </si>
  <si>
    <t>افطار الادارة 9افراد</t>
  </si>
  <si>
    <t>مصاربف تحصيل 86</t>
  </si>
  <si>
    <t>مصاربف تحصيل 123</t>
  </si>
  <si>
    <t>مصاربف تحصيل 117+118+119</t>
  </si>
  <si>
    <t>مصاربف تحصيل 126</t>
  </si>
  <si>
    <t>مصاريف مرتجع 122</t>
  </si>
  <si>
    <t>مصاريف مرتجع 121</t>
  </si>
  <si>
    <t>مصاريف مرتجع 98</t>
  </si>
  <si>
    <t>مصاريف مرتجع 95</t>
  </si>
  <si>
    <t>مصاريف مرتجع 94</t>
  </si>
  <si>
    <t>مصاريف بوفية</t>
  </si>
  <si>
    <t>مرتجع خالد عبدالرحيم</t>
  </si>
  <si>
    <t>مصاريف تحصيل 105</t>
  </si>
  <si>
    <t>م . تحصيل - نقدى</t>
  </si>
  <si>
    <t>وجبة افطار 4 افراد</t>
  </si>
  <si>
    <t>مرتجع 8604</t>
  </si>
  <si>
    <t>افطار 4 افراد</t>
  </si>
  <si>
    <t>تحصيل 125</t>
  </si>
  <si>
    <t>تحصيل 134+135</t>
  </si>
  <si>
    <t>تحصيل 137</t>
  </si>
  <si>
    <t>مرتجع 8608</t>
  </si>
  <si>
    <t>بنزين تروسيكل</t>
  </si>
  <si>
    <t>افطار 5 افراد</t>
  </si>
  <si>
    <t>مرتجع عمرو 8607</t>
  </si>
  <si>
    <t>مرتجع 8609</t>
  </si>
  <si>
    <t>محمد الشوكى 01115719412</t>
  </si>
  <si>
    <t>مصاريف تحصيل 148</t>
  </si>
  <si>
    <t>مصاريف تحصيل 147</t>
  </si>
  <si>
    <t>مصاريف تحصيل 144</t>
  </si>
  <si>
    <t>مصاريف مرتجع 8612</t>
  </si>
  <si>
    <t>مصاريف تحصيل 92</t>
  </si>
  <si>
    <t>مرتجع 5944</t>
  </si>
  <si>
    <t>محمد ابراهيم=01143147958</t>
  </si>
  <si>
    <t>وجبة افطار 6</t>
  </si>
  <si>
    <t>شحن اوردر كواليتي</t>
  </si>
  <si>
    <t>مصاريف تحويل نقدي</t>
  </si>
  <si>
    <t>رسوم واشتراكات</t>
  </si>
  <si>
    <t>مصاريف تحصيل 132</t>
  </si>
  <si>
    <t>مصاريف تحصيل 143</t>
  </si>
  <si>
    <t>مصاريف مرتجع 8610</t>
  </si>
  <si>
    <t>مصاريف تحصيل 124</t>
  </si>
  <si>
    <t>غرامة مرور كراتين في سبارة</t>
  </si>
  <si>
    <t>وجبة افطار 5</t>
  </si>
  <si>
    <t>عمولة تحويل كاش الي نقدي</t>
  </si>
  <si>
    <t>مصاريف زيارة م/احمد</t>
  </si>
  <si>
    <t>مصروف تحصيل 154</t>
  </si>
  <si>
    <t>مصروف تحصيل 140</t>
  </si>
  <si>
    <t>مصروف تحصيل 145</t>
  </si>
  <si>
    <t>مصروف تحصيل 142</t>
  </si>
  <si>
    <t>مصاريف مرتجع 8614</t>
  </si>
  <si>
    <t>مصاريف مرتجع 8616+8617</t>
  </si>
  <si>
    <t>شراء شنط</t>
  </si>
  <si>
    <t>دفعه مزاجو للاحذية</t>
  </si>
  <si>
    <t>ايهاب مزاجو</t>
  </si>
  <si>
    <t>مصاريف تحصيل 155</t>
  </si>
  <si>
    <t>مصاريف مرتجع 8620</t>
  </si>
  <si>
    <t>مصاريف تحصيل 153</t>
  </si>
  <si>
    <t>وجبة افطار 4</t>
  </si>
  <si>
    <t>انترنت للفرع</t>
  </si>
  <si>
    <t>مرتجع 8624</t>
  </si>
  <si>
    <t>مصاريف سحب الي فاتورة شادي عمرو</t>
  </si>
  <si>
    <t>باقي حساب رضا حنتيرة</t>
  </si>
  <si>
    <t>اكرامية ونقل بضاعه ديزرت الي شبرا</t>
  </si>
  <si>
    <t>مصاريف تحصيل 159</t>
  </si>
  <si>
    <t>افطار 2 فرد</t>
  </si>
  <si>
    <t>مصروف تسليم 163</t>
  </si>
  <si>
    <t>مصاريف تحصيل 160</t>
  </si>
  <si>
    <t>مصاريف مرتجع 140</t>
  </si>
  <si>
    <t>كوتشي لجمال ا/احمد النجار</t>
  </si>
  <si>
    <t>مكافئات</t>
  </si>
  <si>
    <t>مصاريف تحصيل 90</t>
  </si>
  <si>
    <t>وجبة افطار 3 فرد</t>
  </si>
  <si>
    <t>نقل التريكو من طنطا</t>
  </si>
  <si>
    <t>افطار 3 فرد</t>
  </si>
  <si>
    <t>افطار 3فرد</t>
  </si>
  <si>
    <t>فاتورة كهرباء وتاسيس كهرباء</t>
  </si>
  <si>
    <t>مرتبات</t>
  </si>
  <si>
    <t>ايجار الفرع</t>
  </si>
  <si>
    <t>جهاز بصمه</t>
  </si>
  <si>
    <t>طلبات كهرباء باب الشعرية</t>
  </si>
  <si>
    <t>اصلاح وصيانة وتاسيس</t>
  </si>
  <si>
    <t>اجمالي المصروفات</t>
  </si>
  <si>
    <t>اجمالي التوريد للمصنع</t>
  </si>
  <si>
    <t>نسبة المصاريف من التوريد</t>
  </si>
  <si>
    <t>خزينة باب الشعرية</t>
  </si>
  <si>
    <t>دائن( ع.م )</t>
  </si>
  <si>
    <t>تحصيل بوليصة البراق -  ( وارد باب الشعرية 14-12 )</t>
  </si>
  <si>
    <t>دفعه باب الشعرية -  ( وارد 11-2 )</t>
  </si>
  <si>
    <t>تصفية من2 حتي 13-12 -  ( وارد 18-12 )</t>
  </si>
  <si>
    <t>دفعه باب الشعرية -  ( وارد للمصنع )</t>
  </si>
  <si>
    <t>وارد باب الشعرية -  ( وارد 20-12 )</t>
  </si>
  <si>
    <t>دفعه من باب الشعرية -  ( وارد 21-12 )</t>
  </si>
  <si>
    <t>دفعه باب الشعرية -  ( وارد 14-2 )</t>
  </si>
  <si>
    <t>دفع من باب الشعرية -  ( وارد 21-12 )</t>
  </si>
  <si>
    <t>دفعه باب الشعرية -  ( وارد 15-2 )</t>
  </si>
  <si>
    <t>وارد من باب الشعرية -  ( وارد 25-12 )</t>
  </si>
  <si>
    <t>دفعة من باب الشعرية -  ( وارد 26-12 )</t>
  </si>
  <si>
    <t>دفعة باب الشعرية -  ( وارد 19-2 )</t>
  </si>
  <si>
    <t>وارد باب الشعرية -  ( وارد المصنع 27-12 )</t>
  </si>
  <si>
    <t>دفعه باب الشعرية -  ( وارد 21-2 )</t>
  </si>
  <si>
    <t>دفعة باب الشعرية -  ( وارد 28-12 )</t>
  </si>
  <si>
    <t>دفعه باب الشعرية -  ( وارد 22-2 )</t>
  </si>
  <si>
    <t>دفعة باب الشعرية 28-12 -  ( وارد 30-12 )</t>
  </si>
  <si>
    <t>دفعه باب الشعرية -  ( وارد 24-2 )</t>
  </si>
  <si>
    <t>دفعة باب الشعرية 29-12 -  ( وارد 30-12 )</t>
  </si>
  <si>
    <t>دفعه باب الشعرية -  ( وارد 25-2 )</t>
  </si>
  <si>
    <t>وارد باب الشعرية -  ( وارد 1-1-2024 )</t>
  </si>
  <si>
    <t>دفعه باب الشعرية -  ( صادر 26-2 )</t>
  </si>
  <si>
    <t>وارد باب الشعرية 2-1 -  ( وارد 2-1 )</t>
  </si>
  <si>
    <t>دفعه باب الشعرية -  ( وارد 27-2 )</t>
  </si>
  <si>
    <t>دفعه باب الشعرية -  ( وارد 3-1 )</t>
  </si>
  <si>
    <t>دفعه باب الشعرية -  ( وارد 29-2 )</t>
  </si>
  <si>
    <t>دفعة باب الشعرية -  ( وارد 4-1 )</t>
  </si>
  <si>
    <t>دفعه باب الشعرية -  ( وارد2-3 )</t>
  </si>
  <si>
    <t>دفعة باب الشعرية -  ( وارد 6-1 )</t>
  </si>
  <si>
    <t>دفعه من باب الشعرية -  ( وارد 4-3 )</t>
  </si>
  <si>
    <t>دفعة باب الشعرية -  ( وارد  )</t>
  </si>
  <si>
    <t>دفعه باب الشعرية -  ( وارد 5-3 )</t>
  </si>
  <si>
    <t>دفعة باب الشعرية -  ( وارد 9-1 )</t>
  </si>
  <si>
    <t>دفعه من باب الشعرية -  ( وارد مصنع )</t>
  </si>
  <si>
    <t>دفعه باب الشعرية -  ( وارد 10-1 )</t>
  </si>
  <si>
    <t>دفعة باب الشعرية -  ( وارد 11-1 )</t>
  </si>
  <si>
    <t>دفعه باب الشعرية -  ( وارد مصنع )</t>
  </si>
  <si>
    <t>دفعة باب الشعرية -  ( صادر 13-1 )</t>
  </si>
  <si>
    <t>دفعه توريد باب الشعرية -  ( وارد 16-1 )</t>
  </si>
  <si>
    <t>دفعه باب الشعرية -  ( وارد 14-3 )</t>
  </si>
  <si>
    <t>دفعه توريد باب الشعرية -  ( وارد 17-1 )</t>
  </si>
  <si>
    <t>دفعة باب الشعرية -  ( وارد 18-1 )</t>
  </si>
  <si>
    <t>دفعه باب الشعرية -  ( وارد المصنع )</t>
  </si>
  <si>
    <t>دفعة باب الشعرية 19-1 -  ( وارد 20-1 )</t>
  </si>
  <si>
    <t>دفعة باب الشعرية 20-1 -  ( وارد 20-1 )</t>
  </si>
  <si>
    <t>دفعه باب الشعرية -  ( وارد 22-1 )</t>
  </si>
  <si>
    <t>دفعه باب الشعرية -  ( وارد 24-1 )</t>
  </si>
  <si>
    <t>دفعه باب الشعرية -  ( وارد 27-1 )</t>
  </si>
  <si>
    <t>دفعه باب الشعرية -  ( وارد 28-1 )</t>
  </si>
  <si>
    <t>دفعه باب الشعرية -  ( وارد خزينة )</t>
  </si>
  <si>
    <t>دفعة ون باب الشعرية -  ( وارد 1-2 )</t>
  </si>
  <si>
    <t>دفعة باب الشعرية -  ( وارد 3-2 )</t>
  </si>
  <si>
    <t>دفعه باب الشعرية -  ( وارد 3-2 )</t>
  </si>
  <si>
    <t>دفعه باب الشعرية -  ( وارد 4-2 )</t>
  </si>
  <si>
    <t>دفعه باب الشعرية -  ( وارد 8-4 )</t>
  </si>
  <si>
    <t>دفعه باب الشعرية -  ( وارد 6-2 )</t>
  </si>
  <si>
    <t>Grand Total</t>
  </si>
  <si>
    <t>مصلحة الضرائب العامة</t>
  </si>
  <si>
    <t>موردون</t>
  </si>
  <si>
    <t>دفعه باب الشعرية -  ( وارد 8-2 )</t>
  </si>
  <si>
    <t>تحويل بنكي</t>
  </si>
  <si>
    <t>تحويلات كاش</t>
  </si>
  <si>
    <t>دفعه باب الشعرية -  ( وارد 10-2 )</t>
  </si>
  <si>
    <t>اجمالي</t>
  </si>
  <si>
    <t xml:space="preserve"> حساب مورد دفعه مزاجو للاحذية</t>
  </si>
  <si>
    <t xml:space="preserve">جميع خطوط الشركه </t>
  </si>
  <si>
    <t>افطار شهر رمضان</t>
  </si>
  <si>
    <t xml:space="preserve">ضيافه عملاء </t>
  </si>
  <si>
    <t xml:space="preserve">2 شهر لم يكن ع قوه الفرع </t>
  </si>
  <si>
    <t>ا محمد حلمي</t>
  </si>
  <si>
    <t xml:space="preserve">جزء من المبلغ لم يتم خروجه من خزينه الفرع </t>
  </si>
  <si>
    <t>قيمة المبيعات</t>
  </si>
  <si>
    <t>مسؤلي الاداره</t>
  </si>
  <si>
    <t>تايع المصنع</t>
  </si>
  <si>
    <t xml:space="preserve">تابع فرع شبرا </t>
  </si>
  <si>
    <t>تابع مرتجعات الانلاين</t>
  </si>
  <si>
    <t>TOTAL</t>
  </si>
  <si>
    <t>تليفون وانترنت وكهرباء</t>
  </si>
  <si>
    <t>1200 فاتوره اتصلات جميع خطوط الشركه</t>
  </si>
  <si>
    <t>عهده عمرو مصباح تم التسويه شهر فبراير</t>
  </si>
  <si>
    <t xml:space="preserve">بدوم طلبيه السودان </t>
  </si>
  <si>
    <t xml:space="preserve">ضيافه مسؤلي الادارات </t>
  </si>
  <si>
    <t>الميزانية 21-4-2024</t>
  </si>
  <si>
    <t>الأصول</t>
  </si>
  <si>
    <t xml:space="preserve">خطا كتابي دبلره البند </t>
  </si>
  <si>
    <t xml:space="preserve">المراجعه مع ا.محمد ابراهيم </t>
  </si>
  <si>
    <t xml:space="preserve">2ق اجله لموظفي الفرع </t>
  </si>
  <si>
    <t>الخزينة</t>
  </si>
  <si>
    <t xml:space="preserve">تفاصيل الخزينه </t>
  </si>
  <si>
    <t>اتصالات كاش</t>
  </si>
  <si>
    <t xml:space="preserve">جاري التحصيل </t>
  </si>
  <si>
    <t>المخزن</t>
  </si>
  <si>
    <t>بوالص شحن</t>
  </si>
  <si>
    <t>ابديت البلايض تابع اليوميه</t>
  </si>
  <si>
    <t>عهد لم تسدد</t>
  </si>
  <si>
    <t>الجرد عمرو</t>
  </si>
  <si>
    <t>المبيعات</t>
  </si>
  <si>
    <t>التحويلات اليه</t>
  </si>
  <si>
    <t>التحويلات منه</t>
  </si>
  <si>
    <t>الجرد ا/اسلام</t>
  </si>
  <si>
    <t>عجز قطع</t>
  </si>
  <si>
    <t>بوليصة غير مسجلة باليومية</t>
  </si>
  <si>
    <t xml:space="preserve">عجز خزينة </t>
  </si>
  <si>
    <t>تم التسويه من شهر فبراير</t>
  </si>
  <si>
    <t xml:space="preserve">ولاكن موجود اذن تسليم </t>
  </si>
  <si>
    <t xml:space="preserve"> ولاكن موجود اذن صرف</t>
  </si>
  <si>
    <t xml:space="preserve">صرف بدل سياره </t>
  </si>
  <si>
    <t>مكرر</t>
  </si>
  <si>
    <r>
      <t xml:space="preserve">لموظفي الشركه </t>
    </r>
    <r>
      <rPr>
        <b/>
        <sz val="18"/>
        <color rgb="FFFF0000"/>
        <rFont val="Calibri"/>
        <family val="2"/>
        <scheme val="minor"/>
      </rPr>
      <t>مصطفى هشام</t>
    </r>
    <r>
      <rPr>
        <b/>
        <sz val="18"/>
        <color theme="1"/>
        <rFont val="Calibri"/>
        <family val="2"/>
        <scheme val="minor"/>
      </rPr>
      <t xml:space="preserve"> كان المفترد توريد المبلغ مع السلفه فى نفس اليوم الخميس18/4 </t>
    </r>
  </si>
  <si>
    <t xml:space="preserve">42 تم البيع يوم الجرد ويوم ارساله </t>
  </si>
  <si>
    <t xml:space="preserve">باقي الكميه ...تم المراجعه ع الجرد حيث تم اكتشاف فروق كبيره في بعض الموديلات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</si>
</sst>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21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b/>
      <sz val="2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  <font>
      <b/>
      <sz val="11"/>
      <color rgb="FF000000"/>
      <name val="ARIAL"/>
      <family val="2"/>
    </font>
    <font>
      <b/>
      <sz val="14"/>
      <color rgb="FF000000"/>
      <name val="ARIAL"/>
      <family val="2"/>
    </font>
    <font>
      <sz val="1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charset val="178"/>
      <scheme val="minor"/>
    </font>
    <font>
      <sz val="10"/>
      <color theme="1"/>
      <name val="Calibri"/>
      <family val="2"/>
      <charset val="178"/>
      <scheme val="minor"/>
    </font>
    <font>
      <sz val="8"/>
      <color theme="1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FF0000"/>
      <name val="Calibri"/>
      <family val="2"/>
      <charset val="178"/>
      <scheme val="minor"/>
    </font>
    <font>
      <b/>
      <sz val="18"/>
      <color rgb="FFFF000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39" fontId="0" fillId="0" borderId="3" xfId="0" applyNumberFormat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37" fontId="9" fillId="0" borderId="3" xfId="0" applyNumberFormat="1" applyFont="1" applyBorder="1" applyAlignment="1">
      <alignment horizontal="center" vertical="center"/>
    </xf>
    <xf numFmtId="165" fontId="9" fillId="3" borderId="3" xfId="1" applyNumberFormat="1" applyFont="1" applyFill="1" applyBorder="1"/>
    <xf numFmtId="165" fontId="10" fillId="4" borderId="0" xfId="0" applyNumberFormat="1" applyFont="1" applyFill="1"/>
    <xf numFmtId="39" fontId="0" fillId="5" borderId="3" xfId="0" applyNumberFormat="1" applyFill="1" applyBorder="1" applyAlignment="1">
      <alignment horizontal="center" vertical="center"/>
    </xf>
    <xf numFmtId="39" fontId="0" fillId="6" borderId="3" xfId="0" applyNumberFormat="1" applyFill="1" applyBorder="1" applyAlignment="1">
      <alignment horizontal="center" vertical="center"/>
    </xf>
    <xf numFmtId="39" fontId="0" fillId="7" borderId="3" xfId="0" applyNumberFormat="1" applyFill="1" applyBorder="1" applyAlignment="1">
      <alignment horizontal="center" vertical="center"/>
    </xf>
    <xf numFmtId="39" fontId="0" fillId="8" borderId="3" xfId="0" applyNumberFormat="1" applyFill="1" applyBorder="1" applyAlignment="1">
      <alignment horizontal="center" vertical="center"/>
    </xf>
    <xf numFmtId="39" fontId="11" fillId="9" borderId="3" xfId="0" applyNumberFormat="1" applyFont="1" applyFill="1" applyBorder="1" applyAlignment="1">
      <alignment horizontal="center" vertical="center"/>
    </xf>
    <xf numFmtId="39" fontId="0" fillId="9" borderId="3" xfId="0" applyNumberFormat="1" applyFill="1" applyBorder="1" applyAlignment="1">
      <alignment horizontal="center" vertical="center"/>
    </xf>
    <xf numFmtId="0" fontId="0" fillId="0" borderId="3" xfId="0" applyBorder="1"/>
    <xf numFmtId="0" fontId="6" fillId="0" borderId="3" xfId="0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39" fontId="0" fillId="13" borderId="3" xfId="0" applyNumberFormat="1" applyFill="1" applyBorder="1" applyAlignment="1">
      <alignment horizontal="center" vertical="center"/>
    </xf>
    <xf numFmtId="39" fontId="0" fillId="12" borderId="3" xfId="0" applyNumberFormat="1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39" fontId="0" fillId="0" borderId="3" xfId="0" applyNumberFormat="1" applyBorder="1"/>
    <xf numFmtId="39" fontId="0" fillId="9" borderId="3" xfId="0" applyNumberFormat="1" applyFill="1" applyBorder="1"/>
    <xf numFmtId="0" fontId="0" fillId="9" borderId="3" xfId="0" applyFill="1" applyBorder="1" applyAlignment="1">
      <alignment horizontal="center"/>
    </xf>
    <xf numFmtId="39" fontId="0" fillId="7" borderId="3" xfId="0" applyNumberFormat="1" applyFill="1" applyBorder="1"/>
    <xf numFmtId="0" fontId="0" fillId="7" borderId="3" xfId="0" applyFill="1" applyBorder="1" applyAlignment="1">
      <alignment horizontal="center" vertical="center"/>
    </xf>
    <xf numFmtId="39" fontId="0" fillId="5" borderId="3" xfId="0" applyNumberFormat="1" applyFill="1" applyBorder="1"/>
    <xf numFmtId="0" fontId="0" fillId="5" borderId="3" xfId="0" applyFill="1" applyBorder="1" applyAlignment="1">
      <alignment horizontal="center" vertical="center"/>
    </xf>
    <xf numFmtId="39" fontId="0" fillId="8" borderId="3" xfId="0" applyNumberFormat="1" applyFill="1" applyBorder="1"/>
    <xf numFmtId="0" fontId="0" fillId="8" borderId="3" xfId="0" applyFill="1" applyBorder="1" applyAlignment="1">
      <alignment horizontal="center"/>
    </xf>
    <xf numFmtId="39" fontId="0" fillId="14" borderId="3" xfId="0" applyNumberFormat="1" applyFill="1" applyBorder="1"/>
    <xf numFmtId="0" fontId="0" fillId="14" borderId="3" xfId="0" applyFill="1" applyBorder="1" applyAlignment="1">
      <alignment horizontal="center"/>
    </xf>
    <xf numFmtId="0" fontId="0" fillId="6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15" borderId="4" xfId="0" applyFill="1" applyBorder="1" applyAlignment="1">
      <alignment horizontal="center" vertical="center"/>
    </xf>
    <xf numFmtId="0" fontId="6" fillId="11" borderId="3" xfId="0" applyFont="1" applyFill="1" applyBorder="1" applyAlignment="1">
      <alignment horizontal="center" vertical="center"/>
    </xf>
    <xf numFmtId="0" fontId="6" fillId="16" borderId="3" xfId="0" applyFont="1" applyFill="1" applyBorder="1" applyAlignment="1">
      <alignment horizontal="center" vertical="center"/>
    </xf>
    <xf numFmtId="0" fontId="6" fillId="17" borderId="3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center" vertical="center"/>
    </xf>
    <xf numFmtId="165" fontId="6" fillId="0" borderId="3" xfId="1" applyNumberFormat="1" applyFont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165" fontId="7" fillId="4" borderId="3" xfId="0" applyNumberFormat="1" applyFont="1" applyFill="1" applyBorder="1" applyAlignment="1">
      <alignment horizontal="center" vertical="center"/>
    </xf>
    <xf numFmtId="9" fontId="8" fillId="0" borderId="3" xfId="2" applyFont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6" fillId="18" borderId="3" xfId="0" applyFont="1" applyFill="1" applyBorder="1" applyAlignment="1">
      <alignment horizontal="center" vertical="center"/>
    </xf>
    <xf numFmtId="0" fontId="6" fillId="19" borderId="3" xfId="0" applyFont="1" applyFill="1" applyBorder="1" applyAlignment="1">
      <alignment horizontal="center" vertical="center"/>
    </xf>
    <xf numFmtId="0" fontId="15" fillId="0" borderId="3" xfId="0" applyFont="1" applyBorder="1"/>
    <xf numFmtId="0" fontId="12" fillId="0" borderId="3" xfId="0" applyFont="1" applyBorder="1" applyAlignment="1">
      <alignment horizontal="center"/>
    </xf>
    <xf numFmtId="0" fontId="16" fillId="11" borderId="3" xfId="0" applyFont="1" applyFill="1" applyBorder="1" applyAlignment="1">
      <alignment horizontal="center"/>
    </xf>
    <xf numFmtId="0" fontId="16" fillId="16" borderId="3" xfId="0" applyFont="1" applyFill="1" applyBorder="1" applyAlignment="1">
      <alignment horizontal="center"/>
    </xf>
    <xf numFmtId="0" fontId="16" fillId="17" borderId="3" xfId="0" applyFont="1" applyFill="1" applyBorder="1" applyAlignment="1">
      <alignment horizontal="center"/>
    </xf>
    <xf numFmtId="0" fontId="16" fillId="14" borderId="3" xfId="0" applyFont="1" applyFill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2" fillId="0" borderId="0" xfId="0" applyFont="1"/>
    <xf numFmtId="0" fontId="12" fillId="12" borderId="3" xfId="0" applyFont="1" applyFill="1" applyBorder="1" applyAlignment="1">
      <alignment horizontal="center"/>
    </xf>
    <xf numFmtId="0" fontId="12" fillId="19" borderId="3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165" fontId="8" fillId="10" borderId="7" xfId="1" applyNumberFormat="1" applyFont="1" applyFill="1" applyBorder="1" applyAlignment="1">
      <alignment horizontal="center" vertical="center"/>
    </xf>
    <xf numFmtId="165" fontId="10" fillId="3" borderId="7" xfId="1" applyNumberFormat="1" applyFont="1" applyFill="1" applyBorder="1" applyAlignment="1">
      <alignment horizontal="center" vertical="center"/>
    </xf>
    <xf numFmtId="165" fontId="16" fillId="12" borderId="3" xfId="0" applyNumberFormat="1" applyFont="1" applyFill="1" applyBorder="1" applyAlignment="1"/>
    <xf numFmtId="0" fontId="0" fillId="0" borderId="5" xfId="0" applyBorder="1" applyAlignment="1"/>
    <xf numFmtId="0" fontId="5" fillId="20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5" fillId="20" borderId="0" xfId="0" applyFont="1" applyFill="1" applyAlignment="1">
      <alignment horizontal="center" vertical="center"/>
    </xf>
    <xf numFmtId="165" fontId="5" fillId="20" borderId="0" xfId="1" applyNumberFormat="1" applyFont="1" applyFill="1" applyAlignment="1">
      <alignment horizontal="center"/>
    </xf>
    <xf numFmtId="165" fontId="5" fillId="20" borderId="0" xfId="1" applyNumberFormat="1" applyFont="1" applyFill="1" applyAlignment="1">
      <alignment horizontal="center" vertical="center"/>
    </xf>
    <xf numFmtId="0" fontId="3" fillId="0" borderId="0" xfId="0" applyFont="1"/>
    <xf numFmtId="0" fontId="18" fillId="17" borderId="3" xfId="0" applyFont="1" applyFill="1" applyBorder="1" applyAlignment="1">
      <alignment horizontal="center" vertical="center"/>
    </xf>
    <xf numFmtId="0" fontId="18" fillId="20" borderId="3" xfId="0" applyFont="1" applyFill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4" borderId="3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/>
    <xf numFmtId="0" fontId="5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EW%20SHOES/Downloads/&#1605;&#1610;&#1586;&#1575;&#1606;&#1610;&#1577;%20&#1576;&#1575;&#1576;%20&#1575;&#1604;&#1588;&#1593;&#1585;&#1610;&#1577;%20225-4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الاصول"/>
      <sheetName val="المخزون"/>
      <sheetName val="الميزانية"/>
    </sheetNames>
    <sheetDataSet>
      <sheetData sheetId="0">
        <row r="25">
          <cell r="D25">
            <v>32800</v>
          </cell>
        </row>
      </sheetData>
      <sheetData sheetId="1">
        <row r="54">
          <cell r="D54">
            <v>780749.04000000015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59F1A-390E-414C-9612-FC5C0F35E284}">
  <dimension ref="A1:D53"/>
  <sheetViews>
    <sheetView workbookViewId="0">
      <selection activeCell="D2" sqref="D2"/>
    </sheetView>
  </sheetViews>
  <sheetFormatPr defaultRowHeight="18" x14ac:dyDescent="0.35"/>
  <cols>
    <col min="1" max="1" width="14.33203125" bestFit="1" customWidth="1"/>
    <col min="2" max="2" width="10.109375" bestFit="1" customWidth="1"/>
    <col min="3" max="3" width="13.6640625" style="21" customWidth="1"/>
    <col min="4" max="4" width="14.88671875" style="84" customWidth="1"/>
    <col min="5" max="5" width="9.5546875" customWidth="1"/>
  </cols>
  <sheetData>
    <row r="1" spans="1:4" ht="30" thickTop="1" thickBot="1" x14ac:dyDescent="0.4">
      <c r="A1" s="1" t="s">
        <v>0</v>
      </c>
      <c r="B1" s="1" t="s">
        <v>1</v>
      </c>
    </row>
    <row r="2" spans="1:4" ht="22.2" thickTop="1" thickBot="1" x14ac:dyDescent="0.4">
      <c r="A2" s="2" t="s">
        <v>2</v>
      </c>
      <c r="B2" s="2">
        <v>143</v>
      </c>
      <c r="C2" s="21">
        <v>65</v>
      </c>
    </row>
    <row r="3" spans="1:4" ht="22.2" thickTop="1" thickBot="1" x14ac:dyDescent="0.4">
      <c r="A3" s="2" t="s">
        <v>3</v>
      </c>
      <c r="B3" s="2">
        <v>1502</v>
      </c>
      <c r="C3" s="21">
        <v>1515</v>
      </c>
      <c r="D3" s="84">
        <v>13</v>
      </c>
    </row>
    <row r="4" spans="1:4" ht="22.2" thickTop="1" thickBot="1" x14ac:dyDescent="0.4">
      <c r="A4" s="2" t="s">
        <v>4</v>
      </c>
      <c r="B4" s="2">
        <v>39</v>
      </c>
      <c r="C4" s="21">
        <v>40</v>
      </c>
    </row>
    <row r="5" spans="1:4" ht="22.2" thickTop="1" thickBot="1" x14ac:dyDescent="0.4">
      <c r="A5" s="2" t="s">
        <v>5</v>
      </c>
      <c r="B5" s="2">
        <v>39</v>
      </c>
      <c r="C5" s="21">
        <v>42</v>
      </c>
    </row>
    <row r="6" spans="1:4" ht="22.2" thickTop="1" thickBot="1" x14ac:dyDescent="0.4">
      <c r="A6" s="2" t="s">
        <v>6</v>
      </c>
      <c r="B6" s="2">
        <v>3</v>
      </c>
      <c r="C6" s="21">
        <v>35</v>
      </c>
    </row>
    <row r="7" spans="1:4" ht="22.2" thickTop="1" thickBot="1" x14ac:dyDescent="0.4">
      <c r="A7" s="2" t="s">
        <v>7</v>
      </c>
      <c r="B7" s="2">
        <v>99</v>
      </c>
      <c r="C7" s="21">
        <v>82</v>
      </c>
    </row>
    <row r="8" spans="1:4" ht="22.2" thickTop="1" thickBot="1" x14ac:dyDescent="0.4">
      <c r="A8" s="2" t="s">
        <v>8</v>
      </c>
      <c r="B8" s="2">
        <v>39</v>
      </c>
      <c r="C8" s="21">
        <v>39</v>
      </c>
    </row>
    <row r="9" spans="1:4" ht="22.2" thickTop="1" thickBot="1" x14ac:dyDescent="0.4">
      <c r="A9" s="2" t="s">
        <v>9</v>
      </c>
      <c r="B9" s="2">
        <v>16</v>
      </c>
      <c r="C9" s="21">
        <v>18</v>
      </c>
    </row>
    <row r="10" spans="1:4" ht="22.2" thickTop="1" thickBot="1" x14ac:dyDescent="0.4">
      <c r="A10" s="2" t="s">
        <v>10</v>
      </c>
      <c r="B10" s="2">
        <v>74</v>
      </c>
      <c r="C10" s="21">
        <v>73</v>
      </c>
    </row>
    <row r="11" spans="1:4" ht="22.2" thickTop="1" thickBot="1" x14ac:dyDescent="0.4">
      <c r="A11" s="2" t="s">
        <v>11</v>
      </c>
      <c r="B11" s="2">
        <v>9</v>
      </c>
    </row>
    <row r="12" spans="1:4" ht="22.2" thickTop="1" thickBot="1" x14ac:dyDescent="0.4">
      <c r="A12" s="2" t="s">
        <v>12</v>
      </c>
      <c r="B12" s="2">
        <v>146</v>
      </c>
      <c r="C12" s="21">
        <v>175</v>
      </c>
    </row>
    <row r="13" spans="1:4" ht="22.2" thickTop="1" thickBot="1" x14ac:dyDescent="0.4">
      <c r="A13" s="2" t="s">
        <v>13</v>
      </c>
      <c r="B13" s="2">
        <v>120</v>
      </c>
      <c r="C13" s="21">
        <v>109</v>
      </c>
    </row>
    <row r="14" spans="1:4" ht="22.2" thickTop="1" thickBot="1" x14ac:dyDescent="0.4">
      <c r="A14" s="2" t="s">
        <v>14</v>
      </c>
      <c r="B14" s="2">
        <v>69</v>
      </c>
      <c r="C14" s="21">
        <v>71</v>
      </c>
    </row>
    <row r="15" spans="1:4" ht="27" thickTop="1" thickBot="1" x14ac:dyDescent="0.4">
      <c r="A15" s="3" t="s">
        <v>15</v>
      </c>
      <c r="B15" s="3">
        <v>92</v>
      </c>
      <c r="C15" s="21">
        <v>117</v>
      </c>
    </row>
    <row r="16" spans="1:4" ht="22.2" thickTop="1" thickBot="1" x14ac:dyDescent="0.4">
      <c r="A16" s="2" t="s">
        <v>16</v>
      </c>
      <c r="B16" s="2">
        <v>109</v>
      </c>
      <c r="C16" s="21">
        <v>83</v>
      </c>
    </row>
    <row r="17" spans="1:3" ht="22.2" thickTop="1" thickBot="1" x14ac:dyDescent="0.4">
      <c r="A17" s="2" t="s">
        <v>17</v>
      </c>
      <c r="B17" s="2">
        <v>110</v>
      </c>
      <c r="C17" s="21">
        <v>64</v>
      </c>
    </row>
    <row r="18" spans="1:3" ht="22.2" thickTop="1" thickBot="1" x14ac:dyDescent="0.4">
      <c r="A18" s="2" t="s">
        <v>18</v>
      </c>
      <c r="B18" s="2">
        <v>37</v>
      </c>
      <c r="C18" s="21">
        <v>42</v>
      </c>
    </row>
    <row r="19" spans="1:3" ht="22.2" thickTop="1" thickBot="1" x14ac:dyDescent="0.4">
      <c r="A19" s="2" t="s">
        <v>19</v>
      </c>
      <c r="B19" s="2">
        <v>27</v>
      </c>
      <c r="C19" s="21">
        <v>27</v>
      </c>
    </row>
    <row r="20" spans="1:3" ht="22.2" thickTop="1" thickBot="1" x14ac:dyDescent="0.4">
      <c r="A20" s="2" t="s">
        <v>20</v>
      </c>
      <c r="B20" s="2">
        <v>129</v>
      </c>
      <c r="C20" s="21">
        <v>125</v>
      </c>
    </row>
    <row r="21" spans="1:3" ht="22.2" thickTop="1" thickBot="1" x14ac:dyDescent="0.4">
      <c r="A21" s="2" t="s">
        <v>21</v>
      </c>
      <c r="B21" s="2">
        <v>125</v>
      </c>
      <c r="C21" s="21">
        <v>122</v>
      </c>
    </row>
    <row r="22" spans="1:3" ht="22.2" thickTop="1" thickBot="1" x14ac:dyDescent="0.4">
      <c r="A22" s="2" t="s">
        <v>22</v>
      </c>
      <c r="B22" s="2">
        <v>63</v>
      </c>
      <c r="C22" s="21">
        <v>13</v>
      </c>
    </row>
    <row r="23" spans="1:3" ht="22.2" thickTop="1" thickBot="1" x14ac:dyDescent="0.4">
      <c r="A23" s="2" t="s">
        <v>23</v>
      </c>
      <c r="B23" s="2">
        <v>111</v>
      </c>
      <c r="C23" s="21">
        <v>94</v>
      </c>
    </row>
    <row r="24" spans="1:3" ht="22.2" thickTop="1" thickBot="1" x14ac:dyDescent="0.4">
      <c r="A24" s="2" t="s">
        <v>24</v>
      </c>
      <c r="B24" s="2">
        <v>195</v>
      </c>
      <c r="C24" s="21">
        <v>241</v>
      </c>
    </row>
    <row r="25" spans="1:3" ht="22.2" thickTop="1" thickBot="1" x14ac:dyDescent="0.4">
      <c r="A25" s="2" t="s">
        <v>25</v>
      </c>
      <c r="B25" s="2">
        <v>1</v>
      </c>
      <c r="C25" s="21">
        <v>3</v>
      </c>
    </row>
    <row r="26" spans="1:3" ht="22.2" thickTop="1" thickBot="1" x14ac:dyDescent="0.4">
      <c r="A26" s="2" t="s">
        <v>26</v>
      </c>
      <c r="B26" s="2">
        <v>18</v>
      </c>
      <c r="C26" s="21">
        <v>21</v>
      </c>
    </row>
    <row r="27" spans="1:3" ht="22.2" thickTop="1" thickBot="1" x14ac:dyDescent="0.4">
      <c r="A27" s="2" t="s">
        <v>27</v>
      </c>
      <c r="B27" s="2">
        <v>97</v>
      </c>
      <c r="C27" s="21">
        <v>48</v>
      </c>
    </row>
    <row r="28" spans="1:3" ht="22.2" thickTop="1" thickBot="1" x14ac:dyDescent="0.4">
      <c r="A28" s="2" t="s">
        <v>28</v>
      </c>
      <c r="B28" s="2">
        <v>2</v>
      </c>
    </row>
    <row r="29" spans="1:3" ht="22.2" thickTop="1" thickBot="1" x14ac:dyDescent="0.4">
      <c r="A29" s="2" t="s">
        <v>29</v>
      </c>
      <c r="B29" s="2">
        <v>102</v>
      </c>
      <c r="C29" s="21">
        <v>104</v>
      </c>
    </row>
    <row r="30" spans="1:3" ht="22.2" thickTop="1" thickBot="1" x14ac:dyDescent="0.4">
      <c r="A30" s="2" t="s">
        <v>30</v>
      </c>
      <c r="B30" s="2">
        <v>56</v>
      </c>
      <c r="C30" s="21">
        <v>54</v>
      </c>
    </row>
    <row r="31" spans="1:3" ht="22.2" thickTop="1" thickBot="1" x14ac:dyDescent="0.4">
      <c r="A31" s="2" t="s">
        <v>31</v>
      </c>
      <c r="B31" s="2">
        <v>163</v>
      </c>
      <c r="C31" s="21">
        <v>138</v>
      </c>
    </row>
    <row r="32" spans="1:3" ht="22.2" thickTop="1" thickBot="1" x14ac:dyDescent="0.4">
      <c r="A32" s="2" t="s">
        <v>32</v>
      </c>
      <c r="B32" s="2">
        <v>1</v>
      </c>
    </row>
    <row r="33" spans="1:4" ht="22.2" thickTop="1" thickBot="1" x14ac:dyDescent="0.4">
      <c r="A33" s="2" t="s">
        <v>33</v>
      </c>
      <c r="B33" s="2">
        <v>163</v>
      </c>
      <c r="C33" s="21">
        <v>191</v>
      </c>
      <c r="D33" s="84">
        <v>32</v>
      </c>
    </row>
    <row r="34" spans="1:4" ht="22.2" thickTop="1" thickBot="1" x14ac:dyDescent="0.4">
      <c r="A34" s="2" t="s">
        <v>34</v>
      </c>
      <c r="B34" s="2">
        <v>68</v>
      </c>
      <c r="C34" s="21">
        <v>75</v>
      </c>
    </row>
    <row r="35" spans="1:4" ht="22.2" thickTop="1" thickBot="1" x14ac:dyDescent="0.4">
      <c r="A35" s="2" t="s">
        <v>35</v>
      </c>
      <c r="B35" s="2">
        <v>75</v>
      </c>
      <c r="C35" s="21">
        <v>95</v>
      </c>
    </row>
    <row r="36" spans="1:4" ht="22.2" thickTop="1" thickBot="1" x14ac:dyDescent="0.4">
      <c r="A36" s="2" t="s">
        <v>36</v>
      </c>
      <c r="B36" s="2">
        <v>106</v>
      </c>
      <c r="C36" s="21">
        <v>148</v>
      </c>
    </row>
    <row r="37" spans="1:4" ht="22.2" thickTop="1" thickBot="1" x14ac:dyDescent="0.4">
      <c r="A37" s="2" t="s">
        <v>37</v>
      </c>
      <c r="B37" s="2">
        <v>206</v>
      </c>
      <c r="C37" s="21">
        <v>305</v>
      </c>
      <c r="D37" s="84">
        <v>99</v>
      </c>
    </row>
    <row r="38" spans="1:4" ht="22.2" thickTop="1" thickBot="1" x14ac:dyDescent="0.4">
      <c r="A38" s="2" t="s">
        <v>38</v>
      </c>
      <c r="B38" s="2">
        <v>33</v>
      </c>
      <c r="C38" s="21">
        <v>33</v>
      </c>
    </row>
    <row r="39" spans="1:4" ht="22.2" thickTop="1" thickBot="1" x14ac:dyDescent="0.4">
      <c r="A39" s="2" t="s">
        <v>39</v>
      </c>
      <c r="B39" s="2">
        <v>38</v>
      </c>
      <c r="C39" s="21">
        <v>77</v>
      </c>
    </row>
    <row r="40" spans="1:4" ht="24.6" thickTop="1" thickBot="1" x14ac:dyDescent="0.4">
      <c r="A40" s="4" t="s">
        <v>40</v>
      </c>
      <c r="B40" s="4">
        <v>36</v>
      </c>
      <c r="C40" s="21">
        <v>64</v>
      </c>
    </row>
    <row r="41" spans="1:4" ht="22.2" thickTop="1" thickBot="1" x14ac:dyDescent="0.4">
      <c r="A41" s="2" t="s">
        <v>41</v>
      </c>
      <c r="B41" s="2">
        <v>482</v>
      </c>
      <c r="C41" s="21">
        <v>541</v>
      </c>
      <c r="D41" s="84">
        <v>32</v>
      </c>
    </row>
    <row r="42" spans="1:4" ht="22.2" thickTop="1" thickBot="1" x14ac:dyDescent="0.4">
      <c r="A42" s="2" t="s">
        <v>42</v>
      </c>
      <c r="B42" s="2">
        <v>117</v>
      </c>
      <c r="C42" s="21">
        <v>90</v>
      </c>
    </row>
    <row r="43" spans="1:4" ht="22.2" thickTop="1" thickBot="1" x14ac:dyDescent="0.4">
      <c r="A43" s="2" t="s">
        <v>43</v>
      </c>
      <c r="B43" s="2">
        <v>22</v>
      </c>
      <c r="C43" s="21">
        <v>19</v>
      </c>
    </row>
    <row r="44" spans="1:4" ht="22.2" thickTop="1" thickBot="1" x14ac:dyDescent="0.4">
      <c r="A44" s="2" t="s">
        <v>44</v>
      </c>
      <c r="B44" s="2">
        <v>26</v>
      </c>
      <c r="C44" s="21">
        <v>24</v>
      </c>
    </row>
    <row r="45" spans="1:4" ht="22.2" thickTop="1" thickBot="1" x14ac:dyDescent="0.4">
      <c r="A45" s="2" t="s">
        <v>45</v>
      </c>
      <c r="B45" s="2">
        <v>133</v>
      </c>
      <c r="C45" s="21">
        <v>137</v>
      </c>
    </row>
    <row r="46" spans="1:4" ht="22.2" thickTop="1" thickBot="1" x14ac:dyDescent="0.4">
      <c r="A46" s="2" t="s">
        <v>46</v>
      </c>
      <c r="B46" s="2">
        <v>5</v>
      </c>
      <c r="C46" s="21">
        <v>23</v>
      </c>
    </row>
    <row r="47" spans="1:4" ht="22.2" thickTop="1" thickBot="1" x14ac:dyDescent="0.4">
      <c r="A47" s="2" t="s">
        <v>47</v>
      </c>
      <c r="B47" s="2">
        <v>137</v>
      </c>
      <c r="C47" s="21">
        <v>114</v>
      </c>
    </row>
    <row r="48" spans="1:4" ht="22.2" thickTop="1" thickBot="1" x14ac:dyDescent="0.4">
      <c r="A48" s="2" t="s">
        <v>48</v>
      </c>
      <c r="B48" s="2">
        <v>60</v>
      </c>
      <c r="C48" s="21">
        <v>117</v>
      </c>
    </row>
    <row r="49" spans="1:3" ht="22.2" thickTop="1" thickBot="1" x14ac:dyDescent="0.4">
      <c r="A49" s="2" t="s">
        <v>49</v>
      </c>
      <c r="B49" s="2">
        <v>17</v>
      </c>
      <c r="C49" s="21">
        <v>10</v>
      </c>
    </row>
    <row r="50" spans="1:3" ht="22.2" thickTop="1" thickBot="1" x14ac:dyDescent="0.4">
      <c r="A50" s="2" t="s">
        <v>50</v>
      </c>
      <c r="B50" s="2">
        <v>133</v>
      </c>
      <c r="C50" s="21">
        <v>126</v>
      </c>
    </row>
    <row r="51" spans="1:3" ht="22.2" thickTop="1" thickBot="1" x14ac:dyDescent="0.4">
      <c r="A51" s="2" t="s">
        <v>51</v>
      </c>
      <c r="B51" s="2">
        <v>62</v>
      </c>
    </row>
    <row r="52" spans="1:3" ht="22.2" thickTop="1" thickBot="1" x14ac:dyDescent="0.4">
      <c r="A52" s="2" t="s">
        <v>52</v>
      </c>
      <c r="B52" s="2">
        <v>117</v>
      </c>
      <c r="C52" s="21">
        <v>120</v>
      </c>
    </row>
    <row r="53" spans="1:3" ht="21.6" thickTop="1" x14ac:dyDescent="0.35">
      <c r="A53" s="5" t="s">
        <v>53</v>
      </c>
      <c r="B53" s="5">
        <v>817</v>
      </c>
      <c r="C53" s="21">
        <v>817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14F58-58D0-4632-B842-448185BF98E9}">
  <dimension ref="A1:G14"/>
  <sheetViews>
    <sheetView zoomScale="190" zoomScaleNormal="190" workbookViewId="0">
      <selection activeCell="D14" sqref="D14"/>
    </sheetView>
  </sheetViews>
  <sheetFormatPr defaultRowHeight="14.4" x14ac:dyDescent="0.3"/>
  <cols>
    <col min="1" max="1" width="20.6640625" bestFit="1" customWidth="1"/>
    <col min="2" max="2" width="10.33203125" bestFit="1" customWidth="1"/>
    <col min="3" max="3" width="8.77734375" style="60" customWidth="1"/>
    <col min="4" max="4" width="15.44140625" customWidth="1"/>
    <col min="5" max="5" width="14.33203125" customWidth="1"/>
    <col min="6" max="6" width="12.44140625" customWidth="1"/>
    <col min="7" max="7" width="16.5546875" customWidth="1"/>
  </cols>
  <sheetData>
    <row r="1" spans="1:7" x14ac:dyDescent="0.3">
      <c r="A1" s="20" t="s">
        <v>425</v>
      </c>
      <c r="B1" s="39">
        <v>2363</v>
      </c>
      <c r="C1" s="58"/>
      <c r="D1" s="19"/>
      <c r="E1" s="19"/>
      <c r="F1" s="52">
        <f>SUM(B1,B5,B6,B8,B11)</f>
        <v>16110</v>
      </c>
      <c r="G1" s="20" t="s">
        <v>430</v>
      </c>
    </row>
    <row r="2" spans="1:7" x14ac:dyDescent="0.3">
      <c r="A2" s="20" t="s">
        <v>426</v>
      </c>
      <c r="B2" s="40">
        <f>22000*4</f>
        <v>88000</v>
      </c>
      <c r="C2" s="58">
        <v>14000</v>
      </c>
      <c r="D2" s="50" t="s">
        <v>504</v>
      </c>
      <c r="E2" s="19" t="s">
        <v>505</v>
      </c>
      <c r="F2" s="53">
        <v>74000</v>
      </c>
      <c r="G2" s="20" t="s">
        <v>426</v>
      </c>
    </row>
    <row r="3" spans="1:7" x14ac:dyDescent="0.3">
      <c r="A3" s="20" t="s">
        <v>427</v>
      </c>
      <c r="B3" s="41">
        <f>4*7000</f>
        <v>28000</v>
      </c>
      <c r="C3" s="58"/>
      <c r="D3" s="63" t="s">
        <v>506</v>
      </c>
      <c r="E3" s="64"/>
      <c r="F3" s="54">
        <v>28000</v>
      </c>
      <c r="G3" s="20" t="s">
        <v>427</v>
      </c>
    </row>
    <row r="4" spans="1:7" x14ac:dyDescent="0.3">
      <c r="A4" s="20" t="s">
        <v>74</v>
      </c>
      <c r="B4" s="42">
        <f>4*5000</f>
        <v>20000</v>
      </c>
      <c r="C4" s="58"/>
      <c r="D4" s="19"/>
      <c r="E4" s="19"/>
      <c r="F4" s="55">
        <v>20000</v>
      </c>
      <c r="G4" s="20" t="s">
        <v>74</v>
      </c>
    </row>
    <row r="5" spans="1:7" x14ac:dyDescent="0.3">
      <c r="A5" s="20" t="s">
        <v>428</v>
      </c>
      <c r="B5" s="39">
        <v>4500</v>
      </c>
      <c r="C5" s="58"/>
      <c r="D5" s="19"/>
      <c r="E5" s="19"/>
      <c r="F5" s="47">
        <f>12115+4090</f>
        <v>16205</v>
      </c>
      <c r="G5" s="20" t="s">
        <v>119</v>
      </c>
    </row>
    <row r="6" spans="1:7" x14ac:dyDescent="0.3">
      <c r="A6" s="20" t="s">
        <v>102</v>
      </c>
      <c r="B6" s="39">
        <v>1450</v>
      </c>
      <c r="C6" s="58"/>
      <c r="D6" s="19"/>
      <c r="E6" s="19"/>
      <c r="F6" s="49">
        <v>4800</v>
      </c>
      <c r="G6" s="20" t="s">
        <v>88</v>
      </c>
    </row>
    <row r="7" spans="1:7" x14ac:dyDescent="0.3">
      <c r="A7" s="20" t="s">
        <v>119</v>
      </c>
      <c r="B7" s="47">
        <f>12115+4090</f>
        <v>16205</v>
      </c>
      <c r="C7" s="58"/>
      <c r="D7" s="61" t="s">
        <v>514</v>
      </c>
      <c r="E7" s="62"/>
      <c r="F7" s="48">
        <v>1635</v>
      </c>
      <c r="G7" s="20" t="s">
        <v>513</v>
      </c>
    </row>
    <row r="8" spans="1:7" x14ac:dyDescent="0.3">
      <c r="A8" s="20" t="s">
        <v>429</v>
      </c>
      <c r="B8" s="39">
        <v>2970</v>
      </c>
      <c r="C8" s="58"/>
      <c r="D8" s="19"/>
      <c r="E8" s="19"/>
      <c r="F8" s="56"/>
      <c r="G8" s="19"/>
    </row>
    <row r="9" spans="1:7" x14ac:dyDescent="0.3">
      <c r="A9" s="20" t="s">
        <v>88</v>
      </c>
      <c r="B9" s="49">
        <v>8816</v>
      </c>
      <c r="C9" s="59">
        <v>4500</v>
      </c>
      <c r="D9" s="19" t="s">
        <v>502</v>
      </c>
      <c r="E9" s="19"/>
      <c r="F9" s="56"/>
      <c r="G9" s="19"/>
    </row>
    <row r="10" spans="1:7" x14ac:dyDescent="0.3">
      <c r="A10" s="20" t="s">
        <v>60</v>
      </c>
      <c r="B10" s="48">
        <v>2835</v>
      </c>
      <c r="C10" s="59">
        <v>300</v>
      </c>
      <c r="D10" s="19" t="s">
        <v>503</v>
      </c>
      <c r="E10" s="19"/>
      <c r="F10" s="56"/>
      <c r="G10" s="19"/>
    </row>
    <row r="11" spans="1:7" x14ac:dyDescent="0.3">
      <c r="A11" s="20" t="s">
        <v>430</v>
      </c>
      <c r="B11" s="39">
        <v>4827</v>
      </c>
      <c r="C11" s="59">
        <v>4016</v>
      </c>
      <c r="D11" s="19" t="s">
        <v>517</v>
      </c>
      <c r="E11" s="19"/>
      <c r="F11" s="56"/>
      <c r="G11" s="19"/>
    </row>
    <row r="12" spans="1:7" ht="15.6" x14ac:dyDescent="0.3">
      <c r="A12" s="20" t="s">
        <v>431</v>
      </c>
      <c r="B12" s="43">
        <f>SUM(B1:B11)</f>
        <v>179966</v>
      </c>
      <c r="C12" s="58"/>
      <c r="D12" s="19"/>
      <c r="E12" s="19"/>
      <c r="F12" s="65">
        <f>SUM(F1:F11)</f>
        <v>160750</v>
      </c>
      <c r="G12" s="20" t="s">
        <v>431</v>
      </c>
    </row>
    <row r="13" spans="1:7" ht="18" thickBot="1" x14ac:dyDescent="0.35">
      <c r="A13" s="44" t="s">
        <v>432</v>
      </c>
      <c r="B13" s="45">
        <v>1297494</v>
      </c>
      <c r="C13" s="58"/>
      <c r="D13" s="69"/>
      <c r="E13" s="69" t="s">
        <v>516</v>
      </c>
      <c r="F13" s="66">
        <v>1477228</v>
      </c>
      <c r="G13" s="67" t="s">
        <v>507</v>
      </c>
    </row>
    <row r="14" spans="1:7" ht="15.6" x14ac:dyDescent="0.3">
      <c r="A14" s="20" t="s">
        <v>433</v>
      </c>
      <c r="B14" s="46">
        <f>B12/B13</f>
        <v>0.13870276086055119</v>
      </c>
      <c r="C14" s="58"/>
      <c r="D14" s="19"/>
      <c r="E14" s="19"/>
      <c r="F14" s="68">
        <f>SUM(F13-F12)</f>
        <v>1316478</v>
      </c>
      <c r="G14" s="19"/>
    </row>
  </sheetData>
  <mergeCells count="2">
    <mergeCell ref="D3:E3"/>
    <mergeCell ref="D7:E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D9B16-C66D-4147-AEA6-FA63C4DCCA0D}">
  <dimension ref="A1:E359"/>
  <sheetViews>
    <sheetView topLeftCell="A340" zoomScale="145" zoomScaleNormal="145" workbookViewId="0">
      <selection activeCell="C360" sqref="C360"/>
    </sheetView>
  </sheetViews>
  <sheetFormatPr defaultRowHeight="14.4" x14ac:dyDescent="0.3"/>
  <cols>
    <col min="1" max="1" width="12.5546875" customWidth="1"/>
    <col min="2" max="2" width="35.88671875" bestFit="1" customWidth="1"/>
    <col min="3" max="3" width="32.109375" bestFit="1" customWidth="1"/>
    <col min="4" max="4" width="19.6640625" bestFit="1" customWidth="1"/>
    <col min="5" max="5" width="19.21875" customWidth="1"/>
    <col min="6" max="6" width="20.77734375" customWidth="1"/>
  </cols>
  <sheetData>
    <row r="1" spans="1:4" x14ac:dyDescent="0.3">
      <c r="A1" s="6" t="s">
        <v>54</v>
      </c>
      <c r="B1" s="6" t="s">
        <v>55</v>
      </c>
      <c r="C1" s="6" t="s">
        <v>56</v>
      </c>
      <c r="D1" s="6" t="s">
        <v>57</v>
      </c>
    </row>
    <row r="2" spans="1:4" x14ac:dyDescent="0.3">
      <c r="A2" s="7">
        <v>150</v>
      </c>
      <c r="B2" s="6" t="s">
        <v>58</v>
      </c>
      <c r="C2" s="6" t="s">
        <v>60</v>
      </c>
      <c r="D2" s="6" t="s">
        <v>61</v>
      </c>
    </row>
    <row r="3" spans="1:4" x14ac:dyDescent="0.3">
      <c r="A3" s="7">
        <v>52</v>
      </c>
      <c r="B3" s="6" t="s">
        <v>62</v>
      </c>
      <c r="C3" s="6" t="s">
        <v>63</v>
      </c>
      <c r="D3" s="6" t="s">
        <v>61</v>
      </c>
    </row>
    <row r="4" spans="1:4" x14ac:dyDescent="0.3">
      <c r="A4" s="7">
        <v>158</v>
      </c>
      <c r="B4" s="6" t="s">
        <v>64</v>
      </c>
      <c r="C4" s="6" t="s">
        <v>65</v>
      </c>
      <c r="D4" s="6" t="s">
        <v>61</v>
      </c>
    </row>
    <row r="5" spans="1:4" x14ac:dyDescent="0.3">
      <c r="A5" s="7">
        <v>1450</v>
      </c>
      <c r="B5" s="6" t="s">
        <v>66</v>
      </c>
      <c r="C5" s="6" t="s">
        <v>63</v>
      </c>
      <c r="D5" s="6" t="s">
        <v>61</v>
      </c>
    </row>
    <row r="6" spans="1:4" x14ac:dyDescent="0.3">
      <c r="A6" s="7">
        <v>120</v>
      </c>
      <c r="B6" s="6" t="s">
        <v>67</v>
      </c>
      <c r="C6" s="6" t="s">
        <v>68</v>
      </c>
      <c r="D6" s="6" t="s">
        <v>61</v>
      </c>
    </row>
    <row r="7" spans="1:4" x14ac:dyDescent="0.3">
      <c r="A7" s="7">
        <v>240</v>
      </c>
      <c r="B7" s="6" t="s">
        <v>69</v>
      </c>
      <c r="C7" s="6" t="s">
        <v>63</v>
      </c>
      <c r="D7" s="6" t="s">
        <v>61</v>
      </c>
    </row>
    <row r="8" spans="1:4" x14ac:dyDescent="0.3">
      <c r="A8" s="7">
        <v>50</v>
      </c>
      <c r="B8" s="6" t="s">
        <v>70</v>
      </c>
      <c r="C8" s="6" t="s">
        <v>71</v>
      </c>
      <c r="D8" s="6" t="s">
        <v>72</v>
      </c>
    </row>
    <row r="9" spans="1:4" x14ac:dyDescent="0.3">
      <c r="A9" s="7">
        <v>1000</v>
      </c>
      <c r="B9" s="6" t="s">
        <v>73</v>
      </c>
      <c r="C9" s="6" t="s">
        <v>74</v>
      </c>
      <c r="D9" s="6" t="s">
        <v>75</v>
      </c>
    </row>
    <row r="10" spans="1:4" x14ac:dyDescent="0.3">
      <c r="A10" s="7">
        <v>290</v>
      </c>
      <c r="B10" s="6" t="s">
        <v>76</v>
      </c>
      <c r="C10" s="6" t="s">
        <v>63</v>
      </c>
      <c r="D10" s="6" t="s">
        <v>61</v>
      </c>
    </row>
    <row r="11" spans="1:4" x14ac:dyDescent="0.3">
      <c r="A11" s="7">
        <v>335</v>
      </c>
      <c r="B11" s="6" t="s">
        <v>77</v>
      </c>
      <c r="C11" s="6" t="s">
        <v>63</v>
      </c>
      <c r="D11" s="6" t="s">
        <v>61</v>
      </c>
    </row>
    <row r="12" spans="1:4" x14ac:dyDescent="0.3">
      <c r="A12" s="7">
        <v>200</v>
      </c>
      <c r="B12" s="6" t="s">
        <v>78</v>
      </c>
      <c r="C12" s="6" t="s">
        <v>63</v>
      </c>
      <c r="D12" s="6" t="s">
        <v>61</v>
      </c>
    </row>
    <row r="13" spans="1:4" x14ac:dyDescent="0.3">
      <c r="A13" s="7">
        <v>20</v>
      </c>
      <c r="B13" s="6" t="s">
        <v>79</v>
      </c>
      <c r="C13" s="6" t="s">
        <v>63</v>
      </c>
      <c r="D13" s="6" t="s">
        <v>61</v>
      </c>
    </row>
    <row r="14" spans="1:4" x14ac:dyDescent="0.3">
      <c r="A14" s="7">
        <v>1450</v>
      </c>
      <c r="B14" s="6" t="s">
        <v>80</v>
      </c>
      <c r="C14" s="6" t="s">
        <v>74</v>
      </c>
      <c r="D14" s="6" t="s">
        <v>75</v>
      </c>
    </row>
    <row r="15" spans="1:4" x14ac:dyDescent="0.3">
      <c r="A15" s="7">
        <v>585</v>
      </c>
      <c r="B15" s="6" t="s">
        <v>81</v>
      </c>
      <c r="C15" s="6" t="s">
        <v>63</v>
      </c>
      <c r="D15" s="6" t="s">
        <v>61</v>
      </c>
    </row>
    <row r="16" spans="1:4" x14ac:dyDescent="0.3">
      <c r="A16" s="7">
        <v>250</v>
      </c>
      <c r="B16" s="6" t="s">
        <v>81</v>
      </c>
      <c r="C16" s="6" t="s">
        <v>63</v>
      </c>
      <c r="D16" s="6" t="s">
        <v>61</v>
      </c>
    </row>
    <row r="17" spans="1:4" x14ac:dyDescent="0.3">
      <c r="A17" s="7">
        <v>30</v>
      </c>
      <c r="B17" s="6" t="s">
        <v>82</v>
      </c>
      <c r="C17" s="6" t="s">
        <v>63</v>
      </c>
      <c r="D17" s="6" t="s">
        <v>61</v>
      </c>
    </row>
    <row r="18" spans="1:4" x14ac:dyDescent="0.3">
      <c r="A18" s="7">
        <v>440</v>
      </c>
      <c r="B18" s="6" t="s">
        <v>83</v>
      </c>
      <c r="C18" s="6" t="s">
        <v>63</v>
      </c>
      <c r="D18" s="6" t="s">
        <v>61</v>
      </c>
    </row>
    <row r="19" spans="1:4" x14ac:dyDescent="0.3">
      <c r="A19" s="7">
        <v>240</v>
      </c>
      <c r="B19" s="6" t="s">
        <v>84</v>
      </c>
      <c r="C19" s="6" t="s">
        <v>63</v>
      </c>
      <c r="D19" s="6" t="s">
        <v>61</v>
      </c>
    </row>
    <row r="20" spans="1:4" x14ac:dyDescent="0.3">
      <c r="A20" s="7">
        <v>25</v>
      </c>
      <c r="B20" s="6" t="s">
        <v>83</v>
      </c>
      <c r="C20" s="6" t="s">
        <v>63</v>
      </c>
      <c r="D20" s="6" t="s">
        <v>61</v>
      </c>
    </row>
    <row r="21" spans="1:4" x14ac:dyDescent="0.3">
      <c r="A21" s="7">
        <v>300</v>
      </c>
      <c r="B21" s="6" t="s">
        <v>85</v>
      </c>
      <c r="C21" s="6" t="s">
        <v>63</v>
      </c>
      <c r="D21" s="6" t="s">
        <v>61</v>
      </c>
    </row>
    <row r="22" spans="1:4" x14ac:dyDescent="0.3">
      <c r="A22" s="7">
        <v>20</v>
      </c>
      <c r="B22" s="6" t="s">
        <v>86</v>
      </c>
      <c r="C22" s="6" t="s">
        <v>63</v>
      </c>
      <c r="D22" s="6" t="s">
        <v>61</v>
      </c>
    </row>
    <row r="23" spans="1:4" x14ac:dyDescent="0.3">
      <c r="A23" s="7">
        <v>200</v>
      </c>
      <c r="B23" s="6" t="s">
        <v>87</v>
      </c>
      <c r="C23" s="6" t="s">
        <v>88</v>
      </c>
      <c r="D23" s="6" t="s">
        <v>61</v>
      </c>
    </row>
    <row r="24" spans="1:4" x14ac:dyDescent="0.3">
      <c r="A24" s="7">
        <v>300</v>
      </c>
      <c r="B24" s="6" t="s">
        <v>89</v>
      </c>
      <c r="C24" s="6" t="s">
        <v>74</v>
      </c>
      <c r="D24" s="6" t="s">
        <v>75</v>
      </c>
    </row>
    <row r="25" spans="1:4" x14ac:dyDescent="0.3">
      <c r="A25" s="7">
        <v>475</v>
      </c>
      <c r="B25" s="6" t="s">
        <v>90</v>
      </c>
      <c r="C25" s="6" t="s">
        <v>88</v>
      </c>
      <c r="D25" s="6" t="s">
        <v>61</v>
      </c>
    </row>
    <row r="26" spans="1:4" x14ac:dyDescent="0.3">
      <c r="A26" s="7">
        <v>540</v>
      </c>
      <c r="B26" s="6" t="s">
        <v>91</v>
      </c>
      <c r="C26" s="6" t="s">
        <v>59</v>
      </c>
      <c r="D26" s="6" t="s">
        <v>92</v>
      </c>
    </row>
    <row r="27" spans="1:4" x14ac:dyDescent="0.3">
      <c r="A27" s="7">
        <v>80</v>
      </c>
      <c r="B27" s="6" t="s">
        <v>93</v>
      </c>
      <c r="C27" s="6" t="s">
        <v>60</v>
      </c>
      <c r="D27" s="6" t="s">
        <v>61</v>
      </c>
    </row>
    <row r="28" spans="1:4" x14ac:dyDescent="0.3">
      <c r="A28" s="7">
        <v>85</v>
      </c>
      <c r="B28" s="6" t="s">
        <v>82</v>
      </c>
      <c r="C28" s="6" t="s">
        <v>94</v>
      </c>
      <c r="D28" s="6" t="s">
        <v>61</v>
      </c>
    </row>
    <row r="29" spans="1:4" x14ac:dyDescent="0.3">
      <c r="A29" s="7">
        <v>85</v>
      </c>
      <c r="B29" s="6" t="s">
        <v>95</v>
      </c>
      <c r="C29" s="6" t="s">
        <v>96</v>
      </c>
      <c r="D29" s="6" t="s">
        <v>61</v>
      </c>
    </row>
    <row r="30" spans="1:4" x14ac:dyDescent="0.3">
      <c r="A30" s="7">
        <v>50</v>
      </c>
      <c r="B30" s="6" t="s">
        <v>97</v>
      </c>
      <c r="C30" s="6" t="s">
        <v>98</v>
      </c>
      <c r="D30" s="6" t="s">
        <v>75</v>
      </c>
    </row>
    <row r="31" spans="1:4" x14ac:dyDescent="0.3">
      <c r="A31" s="7">
        <v>1200</v>
      </c>
      <c r="B31" s="6" t="s">
        <v>99</v>
      </c>
      <c r="C31" s="6" t="s">
        <v>96</v>
      </c>
      <c r="D31" s="6" t="s">
        <v>61</v>
      </c>
    </row>
    <row r="32" spans="1:4" x14ac:dyDescent="0.3">
      <c r="A32" s="7">
        <v>2125</v>
      </c>
      <c r="B32" s="6" t="s">
        <v>100</v>
      </c>
      <c r="C32" s="6" t="s">
        <v>74</v>
      </c>
      <c r="D32" s="6" t="s">
        <v>75</v>
      </c>
    </row>
    <row r="33" spans="1:4" x14ac:dyDescent="0.3">
      <c r="A33" s="7">
        <v>1450</v>
      </c>
      <c r="B33" s="6" t="s">
        <v>101</v>
      </c>
      <c r="C33" s="6" t="s">
        <v>59</v>
      </c>
      <c r="D33" s="6" t="s">
        <v>102</v>
      </c>
    </row>
    <row r="34" spans="1:4" x14ac:dyDescent="0.3">
      <c r="A34" s="7">
        <v>600</v>
      </c>
      <c r="B34" s="6" t="s">
        <v>103</v>
      </c>
      <c r="C34" s="6" t="s">
        <v>104</v>
      </c>
      <c r="D34" s="6" t="s">
        <v>75</v>
      </c>
    </row>
    <row r="35" spans="1:4" x14ac:dyDescent="0.3">
      <c r="A35" s="7">
        <v>30</v>
      </c>
      <c r="B35" s="6" t="s">
        <v>105</v>
      </c>
      <c r="C35" s="6" t="s">
        <v>98</v>
      </c>
      <c r="D35" s="6" t="s">
        <v>75</v>
      </c>
    </row>
    <row r="36" spans="1:4" x14ac:dyDescent="0.3">
      <c r="A36" s="7">
        <v>70</v>
      </c>
      <c r="B36" s="6" t="s">
        <v>106</v>
      </c>
      <c r="C36" s="6" t="s">
        <v>68</v>
      </c>
      <c r="D36" s="6" t="s">
        <v>61</v>
      </c>
    </row>
    <row r="37" spans="1:4" x14ac:dyDescent="0.3">
      <c r="A37" s="7">
        <v>715</v>
      </c>
      <c r="B37" s="6" t="s">
        <v>107</v>
      </c>
      <c r="C37" s="6" t="s">
        <v>108</v>
      </c>
      <c r="D37" s="6" t="s">
        <v>75</v>
      </c>
    </row>
    <row r="38" spans="1:4" x14ac:dyDescent="0.3">
      <c r="A38" s="7">
        <v>251</v>
      </c>
      <c r="B38" s="6" t="s">
        <v>109</v>
      </c>
      <c r="C38" s="6" t="s">
        <v>96</v>
      </c>
      <c r="D38" s="6" t="s">
        <v>61</v>
      </c>
    </row>
    <row r="39" spans="1:4" x14ac:dyDescent="0.3">
      <c r="A39" s="7">
        <v>75</v>
      </c>
      <c r="B39" s="6" t="s">
        <v>110</v>
      </c>
      <c r="C39" s="6" t="s">
        <v>88</v>
      </c>
      <c r="D39" s="6" t="s">
        <v>61</v>
      </c>
    </row>
    <row r="40" spans="1:4" x14ac:dyDescent="0.3">
      <c r="A40" s="7">
        <v>25</v>
      </c>
      <c r="B40" s="6" t="s">
        <v>111</v>
      </c>
      <c r="C40" s="6" t="s">
        <v>68</v>
      </c>
      <c r="D40" s="6" t="s">
        <v>61</v>
      </c>
    </row>
    <row r="41" spans="1:4" x14ac:dyDescent="0.3">
      <c r="A41" s="7">
        <v>50</v>
      </c>
      <c r="B41" s="6" t="s">
        <v>112</v>
      </c>
      <c r="C41" s="6" t="s">
        <v>63</v>
      </c>
      <c r="D41" s="6" t="s">
        <v>61</v>
      </c>
    </row>
    <row r="42" spans="1:4" x14ac:dyDescent="0.3">
      <c r="A42" s="7">
        <v>375</v>
      </c>
      <c r="B42" s="6" t="s">
        <v>113</v>
      </c>
      <c r="C42" s="6" t="s">
        <v>114</v>
      </c>
      <c r="D42" s="6" t="s">
        <v>61</v>
      </c>
    </row>
    <row r="43" spans="1:4" x14ac:dyDescent="0.3">
      <c r="A43" s="7">
        <v>125</v>
      </c>
      <c r="B43" s="6" t="s">
        <v>115</v>
      </c>
      <c r="C43" s="6" t="s">
        <v>116</v>
      </c>
      <c r="D43" s="6" t="s">
        <v>61</v>
      </c>
    </row>
    <row r="44" spans="1:4" x14ac:dyDescent="0.3">
      <c r="A44" s="7">
        <v>1000</v>
      </c>
      <c r="B44" s="6" t="s">
        <v>117</v>
      </c>
      <c r="C44" s="6" t="s">
        <v>74</v>
      </c>
      <c r="D44" s="6" t="s">
        <v>75</v>
      </c>
    </row>
    <row r="45" spans="1:4" x14ac:dyDescent="0.3">
      <c r="A45" s="7">
        <v>45</v>
      </c>
      <c r="B45" s="6" t="s">
        <v>118</v>
      </c>
      <c r="C45" s="6" t="s">
        <v>119</v>
      </c>
      <c r="D45" s="6" t="s">
        <v>120</v>
      </c>
    </row>
    <row r="46" spans="1:4" x14ac:dyDescent="0.3">
      <c r="A46" s="7">
        <v>50</v>
      </c>
      <c r="B46" s="6" t="s">
        <v>121</v>
      </c>
      <c r="C46" s="6" t="s">
        <v>119</v>
      </c>
      <c r="D46" s="6" t="s">
        <v>120</v>
      </c>
    </row>
    <row r="47" spans="1:4" x14ac:dyDescent="0.3">
      <c r="A47" s="7">
        <v>3000</v>
      </c>
      <c r="B47" s="6" t="s">
        <v>122</v>
      </c>
      <c r="C47" s="6" t="s">
        <v>74</v>
      </c>
      <c r="D47" s="6" t="s">
        <v>75</v>
      </c>
    </row>
    <row r="48" spans="1:4" x14ac:dyDescent="0.3">
      <c r="A48" s="7">
        <v>40</v>
      </c>
      <c r="B48" s="6" t="s">
        <v>123</v>
      </c>
      <c r="C48" s="6" t="s">
        <v>124</v>
      </c>
      <c r="D48" s="6" t="s">
        <v>120</v>
      </c>
    </row>
    <row r="49" spans="1:4" x14ac:dyDescent="0.3">
      <c r="A49" s="7">
        <v>150</v>
      </c>
      <c r="B49" s="6" t="s">
        <v>58</v>
      </c>
      <c r="C49" s="6" t="s">
        <v>60</v>
      </c>
      <c r="D49" s="6" t="s">
        <v>61</v>
      </c>
    </row>
    <row r="50" spans="1:4" x14ac:dyDescent="0.3">
      <c r="A50" s="7">
        <v>1000</v>
      </c>
      <c r="B50" s="6" t="s">
        <v>125</v>
      </c>
      <c r="C50" s="6" t="s">
        <v>74</v>
      </c>
      <c r="D50" s="6" t="s">
        <v>75</v>
      </c>
    </row>
    <row r="51" spans="1:4" x14ac:dyDescent="0.3">
      <c r="A51" s="7">
        <v>360</v>
      </c>
      <c r="B51" s="6" t="s">
        <v>126</v>
      </c>
      <c r="C51" s="6" t="s">
        <v>68</v>
      </c>
      <c r="D51" s="6" t="s">
        <v>61</v>
      </c>
    </row>
    <row r="52" spans="1:4" x14ac:dyDescent="0.3">
      <c r="A52" s="7">
        <v>2000</v>
      </c>
      <c r="B52" s="6" t="s">
        <v>127</v>
      </c>
      <c r="C52" s="6" t="s">
        <v>128</v>
      </c>
      <c r="D52" s="6" t="s">
        <v>75</v>
      </c>
    </row>
    <row r="53" spans="1:4" x14ac:dyDescent="0.3">
      <c r="A53" s="7">
        <v>120</v>
      </c>
      <c r="B53" s="6" t="s">
        <v>129</v>
      </c>
      <c r="C53" s="6" t="s">
        <v>68</v>
      </c>
      <c r="D53" s="6" t="s">
        <v>61</v>
      </c>
    </row>
    <row r="54" spans="1:4" x14ac:dyDescent="0.3">
      <c r="A54" s="7">
        <v>35</v>
      </c>
      <c r="B54" s="6" t="s">
        <v>130</v>
      </c>
      <c r="C54" s="6" t="s">
        <v>68</v>
      </c>
      <c r="D54" s="6" t="s">
        <v>61</v>
      </c>
    </row>
    <row r="55" spans="1:4" x14ac:dyDescent="0.3">
      <c r="A55" s="7">
        <v>35</v>
      </c>
      <c r="B55" s="6" t="s">
        <v>131</v>
      </c>
      <c r="C55" s="6" t="s">
        <v>68</v>
      </c>
      <c r="D55" s="6" t="s">
        <v>61</v>
      </c>
    </row>
    <row r="56" spans="1:4" x14ac:dyDescent="0.3">
      <c r="A56" s="7">
        <v>230</v>
      </c>
      <c r="B56" s="6" t="s">
        <v>132</v>
      </c>
      <c r="C56" s="6" t="s">
        <v>71</v>
      </c>
      <c r="D56" s="6" t="s">
        <v>72</v>
      </c>
    </row>
    <row r="57" spans="1:4" x14ac:dyDescent="0.3">
      <c r="A57" s="7">
        <v>500</v>
      </c>
      <c r="B57" s="6" t="s">
        <v>133</v>
      </c>
      <c r="C57" s="6" t="s">
        <v>74</v>
      </c>
      <c r="D57" s="6" t="s">
        <v>75</v>
      </c>
    </row>
    <row r="58" spans="1:4" x14ac:dyDescent="0.3">
      <c r="A58" s="7">
        <v>40</v>
      </c>
      <c r="B58" s="6" t="s">
        <v>134</v>
      </c>
      <c r="C58" s="6" t="s">
        <v>68</v>
      </c>
      <c r="D58" s="6" t="s">
        <v>61</v>
      </c>
    </row>
    <row r="59" spans="1:4" x14ac:dyDescent="0.3">
      <c r="A59" s="7">
        <v>40</v>
      </c>
      <c r="B59" s="6" t="s">
        <v>135</v>
      </c>
      <c r="C59" s="6" t="s">
        <v>68</v>
      </c>
      <c r="D59" s="6" t="s">
        <v>61</v>
      </c>
    </row>
    <row r="60" spans="1:4" x14ac:dyDescent="0.3">
      <c r="A60" s="7">
        <v>40</v>
      </c>
      <c r="B60" s="6" t="s">
        <v>136</v>
      </c>
      <c r="C60" s="6" t="s">
        <v>68</v>
      </c>
      <c r="D60" s="6" t="s">
        <v>61</v>
      </c>
    </row>
    <row r="61" spans="1:4" x14ac:dyDescent="0.3">
      <c r="A61" s="7">
        <v>4500</v>
      </c>
      <c r="B61" s="6" t="s">
        <v>137</v>
      </c>
      <c r="C61" s="6" t="s">
        <v>59</v>
      </c>
      <c r="D61" s="6" t="s">
        <v>138</v>
      </c>
    </row>
    <row r="62" spans="1:4" x14ac:dyDescent="0.3">
      <c r="A62" s="18">
        <v>3800</v>
      </c>
      <c r="B62" s="6" t="s">
        <v>139</v>
      </c>
      <c r="C62" s="6" t="s">
        <v>140</v>
      </c>
      <c r="D62" s="6" t="s">
        <v>72</v>
      </c>
    </row>
    <row r="63" spans="1:4" x14ac:dyDescent="0.3">
      <c r="A63" s="7">
        <v>300</v>
      </c>
      <c r="B63" s="6" t="s">
        <v>141</v>
      </c>
      <c r="C63" s="6" t="s">
        <v>71</v>
      </c>
      <c r="D63" s="6" t="s">
        <v>72</v>
      </c>
    </row>
    <row r="64" spans="1:4" x14ac:dyDescent="0.3">
      <c r="A64" s="7">
        <v>50</v>
      </c>
      <c r="B64" s="6" t="s">
        <v>142</v>
      </c>
      <c r="C64" s="6" t="s">
        <v>60</v>
      </c>
      <c r="D64" s="6" t="s">
        <v>61</v>
      </c>
    </row>
    <row r="65" spans="1:4" x14ac:dyDescent="0.3">
      <c r="A65" s="7">
        <v>205</v>
      </c>
      <c r="B65" s="6" t="s">
        <v>58</v>
      </c>
      <c r="C65" s="6" t="s">
        <v>60</v>
      </c>
      <c r="D65" s="6" t="s">
        <v>61</v>
      </c>
    </row>
    <row r="66" spans="1:4" x14ac:dyDescent="0.3">
      <c r="A66" s="7">
        <v>500</v>
      </c>
      <c r="B66" s="6" t="s">
        <v>143</v>
      </c>
      <c r="C66" s="6" t="s">
        <v>128</v>
      </c>
      <c r="D66" s="6" t="s">
        <v>75</v>
      </c>
    </row>
    <row r="67" spans="1:4" x14ac:dyDescent="0.3">
      <c r="A67" s="7">
        <v>100</v>
      </c>
      <c r="B67" s="6" t="s">
        <v>144</v>
      </c>
      <c r="C67" s="6" t="s">
        <v>68</v>
      </c>
      <c r="D67" s="6" t="s">
        <v>61</v>
      </c>
    </row>
    <row r="68" spans="1:4" x14ac:dyDescent="0.3">
      <c r="A68" s="7">
        <v>2250</v>
      </c>
      <c r="B68" s="6" t="s">
        <v>145</v>
      </c>
      <c r="C68" s="6" t="s">
        <v>74</v>
      </c>
      <c r="D68" s="6" t="s">
        <v>75</v>
      </c>
    </row>
    <row r="69" spans="1:4" x14ac:dyDescent="0.3">
      <c r="A69" s="7">
        <v>500</v>
      </c>
      <c r="B69" s="6" t="s">
        <v>146</v>
      </c>
      <c r="C69" s="6" t="s">
        <v>128</v>
      </c>
      <c r="D69" s="6" t="s">
        <v>75</v>
      </c>
    </row>
    <row r="70" spans="1:4" x14ac:dyDescent="0.3">
      <c r="A70" s="7">
        <v>100</v>
      </c>
      <c r="B70" s="6" t="s">
        <v>147</v>
      </c>
      <c r="C70" s="6" t="s">
        <v>68</v>
      </c>
      <c r="D70" s="6" t="s">
        <v>61</v>
      </c>
    </row>
    <row r="71" spans="1:4" x14ac:dyDescent="0.3">
      <c r="A71" s="7">
        <v>20</v>
      </c>
      <c r="B71" s="6" t="s">
        <v>148</v>
      </c>
      <c r="C71" s="6" t="s">
        <v>108</v>
      </c>
      <c r="D71" s="6" t="s">
        <v>75</v>
      </c>
    </row>
    <row r="72" spans="1:4" x14ac:dyDescent="0.3">
      <c r="A72" s="7">
        <v>516.5</v>
      </c>
      <c r="B72" s="6" t="s">
        <v>149</v>
      </c>
      <c r="C72" s="6" t="s">
        <v>88</v>
      </c>
      <c r="D72" s="6" t="s">
        <v>61</v>
      </c>
    </row>
    <row r="73" spans="1:4" x14ac:dyDescent="0.3">
      <c r="A73" s="14">
        <v>200</v>
      </c>
      <c r="B73" s="6" t="s">
        <v>150</v>
      </c>
      <c r="C73" s="6" t="s">
        <v>68</v>
      </c>
      <c r="D73" s="6" t="s">
        <v>61</v>
      </c>
    </row>
    <row r="74" spans="1:4" x14ac:dyDescent="0.3">
      <c r="A74" s="7">
        <v>200</v>
      </c>
      <c r="B74" s="6" t="s">
        <v>151</v>
      </c>
      <c r="C74" s="6" t="s">
        <v>68</v>
      </c>
      <c r="D74" s="6" t="s">
        <v>61</v>
      </c>
    </row>
    <row r="75" spans="1:4" x14ac:dyDescent="0.3">
      <c r="A75" s="7">
        <v>120</v>
      </c>
      <c r="B75" s="6" t="s">
        <v>152</v>
      </c>
      <c r="C75" s="6" t="s">
        <v>68</v>
      </c>
      <c r="D75" s="6" t="s">
        <v>61</v>
      </c>
    </row>
    <row r="76" spans="1:4" x14ac:dyDescent="0.3">
      <c r="A76" s="7">
        <v>230</v>
      </c>
      <c r="B76" s="6" t="s">
        <v>153</v>
      </c>
      <c r="C76" s="6" t="s">
        <v>68</v>
      </c>
      <c r="D76" s="6" t="s">
        <v>61</v>
      </c>
    </row>
    <row r="77" spans="1:4" x14ac:dyDescent="0.3">
      <c r="A77" s="7">
        <v>110</v>
      </c>
      <c r="B77" s="6" t="s">
        <v>154</v>
      </c>
      <c r="C77" s="6" t="s">
        <v>68</v>
      </c>
      <c r="D77" s="6" t="s">
        <v>61</v>
      </c>
    </row>
    <row r="78" spans="1:4" x14ac:dyDescent="0.3">
      <c r="A78" s="7">
        <v>155</v>
      </c>
      <c r="B78" s="6" t="s">
        <v>155</v>
      </c>
      <c r="C78" s="6" t="s">
        <v>96</v>
      </c>
      <c r="D78" s="6" t="s">
        <v>61</v>
      </c>
    </row>
    <row r="79" spans="1:4" x14ac:dyDescent="0.3">
      <c r="A79" s="7">
        <v>2500</v>
      </c>
      <c r="B79" s="6" t="s">
        <v>156</v>
      </c>
      <c r="C79" s="6" t="s">
        <v>74</v>
      </c>
      <c r="D79" s="6" t="s">
        <v>75</v>
      </c>
    </row>
    <row r="80" spans="1:4" x14ac:dyDescent="0.3">
      <c r="A80" s="7">
        <v>50</v>
      </c>
      <c r="B80" s="6" t="s">
        <v>157</v>
      </c>
      <c r="C80" s="6" t="s">
        <v>68</v>
      </c>
      <c r="D80" s="6" t="s">
        <v>61</v>
      </c>
    </row>
    <row r="81" spans="1:4" x14ac:dyDescent="0.3">
      <c r="A81" s="7">
        <v>40</v>
      </c>
      <c r="B81" s="6" t="s">
        <v>158</v>
      </c>
      <c r="C81" s="6" t="s">
        <v>68</v>
      </c>
      <c r="D81" s="6" t="s">
        <v>61</v>
      </c>
    </row>
    <row r="82" spans="1:4" x14ac:dyDescent="0.3">
      <c r="A82" s="7">
        <v>90</v>
      </c>
      <c r="B82" s="6" t="s">
        <v>159</v>
      </c>
      <c r="C82" s="6" t="s">
        <v>68</v>
      </c>
      <c r="D82" s="6" t="s">
        <v>61</v>
      </c>
    </row>
    <row r="83" spans="1:4" x14ac:dyDescent="0.3">
      <c r="A83" s="17">
        <v>493</v>
      </c>
      <c r="B83" s="6" t="s">
        <v>160</v>
      </c>
      <c r="C83" s="6" t="s">
        <v>161</v>
      </c>
      <c r="D83" s="6" t="s">
        <v>162</v>
      </c>
    </row>
    <row r="84" spans="1:4" x14ac:dyDescent="0.3">
      <c r="A84" s="7">
        <v>60</v>
      </c>
      <c r="B84" s="6" t="s">
        <v>163</v>
      </c>
      <c r="C84" s="6" t="s">
        <v>68</v>
      </c>
      <c r="D84" s="6" t="s">
        <v>61</v>
      </c>
    </row>
    <row r="85" spans="1:4" x14ac:dyDescent="0.3">
      <c r="A85" s="17">
        <v>760</v>
      </c>
      <c r="B85" s="6" t="s">
        <v>161</v>
      </c>
      <c r="C85" s="6" t="s">
        <v>164</v>
      </c>
      <c r="D85" s="6" t="s">
        <v>162</v>
      </c>
    </row>
    <row r="86" spans="1:4" x14ac:dyDescent="0.3">
      <c r="A86" s="7">
        <v>200</v>
      </c>
      <c r="B86" s="6" t="s">
        <v>165</v>
      </c>
      <c r="C86" s="6" t="s">
        <v>74</v>
      </c>
      <c r="D86" s="6" t="s">
        <v>75</v>
      </c>
    </row>
    <row r="87" spans="1:4" x14ac:dyDescent="0.3">
      <c r="A87" s="7">
        <v>55</v>
      </c>
      <c r="B87" s="6" t="s">
        <v>166</v>
      </c>
      <c r="C87" s="6" t="s">
        <v>68</v>
      </c>
      <c r="D87" s="6" t="s">
        <v>61</v>
      </c>
    </row>
    <row r="88" spans="1:4" x14ac:dyDescent="0.3">
      <c r="A88" s="7">
        <v>50</v>
      </c>
      <c r="B88" s="6" t="s">
        <v>167</v>
      </c>
      <c r="C88" s="6" t="s">
        <v>68</v>
      </c>
      <c r="D88" s="6" t="s">
        <v>61</v>
      </c>
    </row>
    <row r="89" spans="1:4" x14ac:dyDescent="0.3">
      <c r="A89" s="7">
        <v>195</v>
      </c>
      <c r="B89" s="6" t="s">
        <v>168</v>
      </c>
      <c r="C89" s="6" t="s">
        <v>60</v>
      </c>
      <c r="D89" s="6" t="s">
        <v>61</v>
      </c>
    </row>
    <row r="90" spans="1:4" x14ac:dyDescent="0.3">
      <c r="A90" s="13">
        <v>10000</v>
      </c>
      <c r="B90" s="6" t="s">
        <v>169</v>
      </c>
      <c r="C90" s="6" t="s">
        <v>124</v>
      </c>
      <c r="D90" s="6" t="s">
        <v>120</v>
      </c>
    </row>
    <row r="91" spans="1:4" x14ac:dyDescent="0.3">
      <c r="A91" s="7">
        <v>2700</v>
      </c>
      <c r="B91" s="6" t="s">
        <v>170</v>
      </c>
      <c r="C91" s="6" t="s">
        <v>74</v>
      </c>
      <c r="D91" s="6" t="s">
        <v>75</v>
      </c>
    </row>
    <row r="92" spans="1:4" x14ac:dyDescent="0.3">
      <c r="A92" s="7">
        <v>45</v>
      </c>
      <c r="B92" s="6" t="s">
        <v>171</v>
      </c>
      <c r="C92" s="6" t="s">
        <v>68</v>
      </c>
      <c r="D92" s="6" t="s">
        <v>61</v>
      </c>
    </row>
    <row r="93" spans="1:4" x14ac:dyDescent="0.3">
      <c r="A93" s="14">
        <v>300</v>
      </c>
      <c r="B93" s="6" t="s">
        <v>172</v>
      </c>
      <c r="C93" s="6" t="s">
        <v>173</v>
      </c>
      <c r="D93" s="6" t="s">
        <v>174</v>
      </c>
    </row>
    <row r="94" spans="1:4" x14ac:dyDescent="0.3">
      <c r="A94" s="7">
        <v>30</v>
      </c>
      <c r="B94" s="6" t="s">
        <v>175</v>
      </c>
      <c r="C94" s="6" t="s">
        <v>88</v>
      </c>
      <c r="D94" s="6" t="s">
        <v>61</v>
      </c>
    </row>
    <row r="95" spans="1:4" x14ac:dyDescent="0.3">
      <c r="A95" s="14">
        <v>200</v>
      </c>
      <c r="B95" s="6" t="s">
        <v>59</v>
      </c>
      <c r="C95" s="6" t="s">
        <v>176</v>
      </c>
      <c r="D95" s="6" t="s">
        <v>72</v>
      </c>
    </row>
    <row r="96" spans="1:4" x14ac:dyDescent="0.3">
      <c r="A96" s="14">
        <v>300</v>
      </c>
      <c r="B96" s="6" t="s">
        <v>59</v>
      </c>
      <c r="C96" s="6" t="s">
        <v>176</v>
      </c>
      <c r="D96" s="6" t="s">
        <v>72</v>
      </c>
    </row>
    <row r="97" spans="1:4" x14ac:dyDescent="0.3">
      <c r="A97" s="7">
        <v>65</v>
      </c>
      <c r="B97" s="6" t="s">
        <v>177</v>
      </c>
      <c r="C97" s="6" t="s">
        <v>68</v>
      </c>
      <c r="D97" s="6" t="s">
        <v>61</v>
      </c>
    </row>
    <row r="98" spans="1:4" x14ac:dyDescent="0.3">
      <c r="A98" s="7">
        <v>35</v>
      </c>
      <c r="B98" s="6" t="s">
        <v>178</v>
      </c>
      <c r="C98" s="6" t="s">
        <v>68</v>
      </c>
      <c r="D98" s="6" t="s">
        <v>61</v>
      </c>
    </row>
    <row r="99" spans="1:4" x14ac:dyDescent="0.3">
      <c r="A99" s="7">
        <v>365</v>
      </c>
      <c r="B99" s="6" t="s">
        <v>179</v>
      </c>
      <c r="C99" s="6" t="s">
        <v>68</v>
      </c>
      <c r="D99" s="6" t="s">
        <v>61</v>
      </c>
    </row>
    <row r="100" spans="1:4" x14ac:dyDescent="0.3">
      <c r="A100" s="7">
        <v>315</v>
      </c>
      <c r="B100" s="6" t="s">
        <v>180</v>
      </c>
      <c r="C100" s="6" t="s">
        <v>96</v>
      </c>
      <c r="D100" s="6" t="s">
        <v>61</v>
      </c>
    </row>
    <row r="101" spans="1:4" x14ac:dyDescent="0.3">
      <c r="A101" s="13">
        <v>60</v>
      </c>
      <c r="B101" s="6" t="s">
        <v>181</v>
      </c>
      <c r="C101" s="6" t="s">
        <v>182</v>
      </c>
      <c r="D101" s="6" t="s">
        <v>75</v>
      </c>
    </row>
    <row r="102" spans="1:4" x14ac:dyDescent="0.3">
      <c r="A102" s="7">
        <v>60</v>
      </c>
      <c r="B102" s="6" t="s">
        <v>183</v>
      </c>
      <c r="C102" s="6" t="s">
        <v>68</v>
      </c>
      <c r="D102" s="6" t="s">
        <v>61</v>
      </c>
    </row>
    <row r="103" spans="1:4" x14ac:dyDescent="0.3">
      <c r="A103" s="7">
        <v>75</v>
      </c>
      <c r="B103" s="6" t="s">
        <v>184</v>
      </c>
      <c r="C103" s="6" t="s">
        <v>68</v>
      </c>
      <c r="D103" s="6" t="s">
        <v>61</v>
      </c>
    </row>
    <row r="104" spans="1:4" x14ac:dyDescent="0.3">
      <c r="A104" s="7">
        <v>2500</v>
      </c>
      <c r="B104" s="6" t="s">
        <v>185</v>
      </c>
      <c r="C104" s="6" t="s">
        <v>128</v>
      </c>
      <c r="D104" s="6" t="s">
        <v>75</v>
      </c>
    </row>
    <row r="105" spans="1:4" x14ac:dyDescent="0.3">
      <c r="A105" s="7">
        <v>300</v>
      </c>
      <c r="B105" s="6" t="s">
        <v>186</v>
      </c>
      <c r="C105" s="6" t="s">
        <v>71</v>
      </c>
      <c r="D105" s="6" t="s">
        <v>72</v>
      </c>
    </row>
    <row r="106" spans="1:4" x14ac:dyDescent="0.3">
      <c r="A106" s="7">
        <v>40</v>
      </c>
      <c r="B106" s="6" t="s">
        <v>187</v>
      </c>
      <c r="C106" s="6" t="s">
        <v>68</v>
      </c>
      <c r="D106" s="6" t="s">
        <v>61</v>
      </c>
    </row>
    <row r="107" spans="1:4" x14ac:dyDescent="0.3">
      <c r="A107" s="7">
        <v>60</v>
      </c>
      <c r="B107" s="6" t="s">
        <v>188</v>
      </c>
      <c r="C107" s="6" t="s">
        <v>68</v>
      </c>
      <c r="D107" s="6" t="s">
        <v>61</v>
      </c>
    </row>
    <row r="108" spans="1:4" x14ac:dyDescent="0.3">
      <c r="A108" s="7">
        <v>65</v>
      </c>
      <c r="B108" s="6" t="s">
        <v>189</v>
      </c>
      <c r="C108" s="6" t="s">
        <v>68</v>
      </c>
      <c r="D108" s="6" t="s">
        <v>61</v>
      </c>
    </row>
    <row r="109" spans="1:4" x14ac:dyDescent="0.3">
      <c r="A109" s="7">
        <v>100</v>
      </c>
      <c r="B109" s="6" t="s">
        <v>190</v>
      </c>
      <c r="C109" s="6" t="s">
        <v>63</v>
      </c>
      <c r="D109" s="6" t="s">
        <v>61</v>
      </c>
    </row>
    <row r="110" spans="1:4" x14ac:dyDescent="0.3">
      <c r="A110" s="7">
        <v>50</v>
      </c>
      <c r="B110" s="6" t="s">
        <v>191</v>
      </c>
      <c r="C110" s="6" t="s">
        <v>63</v>
      </c>
      <c r="D110" s="6" t="s">
        <v>61</v>
      </c>
    </row>
    <row r="111" spans="1:4" x14ac:dyDescent="0.3">
      <c r="A111" s="7">
        <v>70</v>
      </c>
      <c r="B111" s="6" t="s">
        <v>192</v>
      </c>
      <c r="C111" s="6" t="s">
        <v>68</v>
      </c>
      <c r="D111" s="6" t="s">
        <v>61</v>
      </c>
    </row>
    <row r="112" spans="1:4" x14ac:dyDescent="0.3">
      <c r="A112" s="7">
        <v>120</v>
      </c>
      <c r="B112" s="6" t="s">
        <v>193</v>
      </c>
      <c r="C112" s="6" t="s">
        <v>68</v>
      </c>
      <c r="D112" s="6" t="s">
        <v>61</v>
      </c>
    </row>
    <row r="113" spans="1:4" x14ac:dyDescent="0.3">
      <c r="A113" s="7">
        <v>115</v>
      </c>
      <c r="B113" s="6" t="s">
        <v>194</v>
      </c>
      <c r="C113" s="6" t="s">
        <v>68</v>
      </c>
      <c r="D113" s="6" t="s">
        <v>61</v>
      </c>
    </row>
    <row r="114" spans="1:4" x14ac:dyDescent="0.3">
      <c r="A114" s="7">
        <v>210</v>
      </c>
      <c r="B114" s="6" t="s">
        <v>195</v>
      </c>
      <c r="C114" s="6" t="s">
        <v>60</v>
      </c>
      <c r="D114" s="6" t="s">
        <v>61</v>
      </c>
    </row>
    <row r="115" spans="1:4" x14ac:dyDescent="0.3">
      <c r="A115" s="7">
        <v>120</v>
      </c>
      <c r="B115" s="6" t="s">
        <v>196</v>
      </c>
      <c r="C115" s="6" t="s">
        <v>68</v>
      </c>
      <c r="D115" s="6" t="s">
        <v>61</v>
      </c>
    </row>
    <row r="116" spans="1:4" x14ac:dyDescent="0.3">
      <c r="A116" s="7">
        <v>10</v>
      </c>
      <c r="B116" s="6" t="s">
        <v>197</v>
      </c>
      <c r="C116" s="6" t="s">
        <v>94</v>
      </c>
      <c r="D116" s="6" t="s">
        <v>61</v>
      </c>
    </row>
    <row r="117" spans="1:4" x14ac:dyDescent="0.3">
      <c r="A117" s="7">
        <v>50</v>
      </c>
      <c r="B117" s="6" t="s">
        <v>198</v>
      </c>
      <c r="C117" s="6" t="s">
        <v>71</v>
      </c>
      <c r="D117" s="6" t="s">
        <v>72</v>
      </c>
    </row>
    <row r="118" spans="1:4" x14ac:dyDescent="0.3">
      <c r="A118" s="7">
        <v>357</v>
      </c>
      <c r="B118" s="6" t="s">
        <v>109</v>
      </c>
      <c r="C118" s="6" t="s">
        <v>96</v>
      </c>
      <c r="D118" s="6" t="s">
        <v>61</v>
      </c>
    </row>
    <row r="119" spans="1:4" x14ac:dyDescent="0.3">
      <c r="A119" s="13">
        <v>320</v>
      </c>
      <c r="B119" s="6" t="s">
        <v>199</v>
      </c>
      <c r="C119" s="6" t="s">
        <v>65</v>
      </c>
      <c r="D119" s="6" t="s">
        <v>61</v>
      </c>
    </row>
    <row r="120" spans="1:4" x14ac:dyDescent="0.3">
      <c r="A120" s="7">
        <v>35</v>
      </c>
      <c r="B120" s="6" t="s">
        <v>200</v>
      </c>
      <c r="C120" s="6" t="s">
        <v>68</v>
      </c>
      <c r="D120" s="6" t="s">
        <v>61</v>
      </c>
    </row>
    <row r="121" spans="1:4" x14ac:dyDescent="0.3">
      <c r="A121" s="7">
        <v>120</v>
      </c>
      <c r="B121" s="6" t="s">
        <v>201</v>
      </c>
      <c r="C121" s="6" t="s">
        <v>68</v>
      </c>
      <c r="D121" s="6" t="s">
        <v>61</v>
      </c>
    </row>
    <row r="122" spans="1:4" x14ac:dyDescent="0.3">
      <c r="A122" s="7">
        <v>35</v>
      </c>
      <c r="B122" s="6" t="s">
        <v>202</v>
      </c>
      <c r="C122" s="6" t="s">
        <v>68</v>
      </c>
      <c r="D122" s="6" t="s">
        <v>61</v>
      </c>
    </row>
    <row r="123" spans="1:4" x14ac:dyDescent="0.3">
      <c r="A123" s="7">
        <v>75</v>
      </c>
      <c r="B123" s="6" t="s">
        <v>203</v>
      </c>
      <c r="C123" s="6" t="s">
        <v>68</v>
      </c>
      <c r="D123" s="6" t="s">
        <v>61</v>
      </c>
    </row>
    <row r="124" spans="1:4" x14ac:dyDescent="0.3">
      <c r="A124" s="7">
        <v>90</v>
      </c>
      <c r="B124" s="6" t="s">
        <v>204</v>
      </c>
      <c r="C124" s="6" t="s">
        <v>68</v>
      </c>
      <c r="D124" s="6" t="s">
        <v>61</v>
      </c>
    </row>
    <row r="125" spans="1:4" x14ac:dyDescent="0.3">
      <c r="A125" s="7">
        <v>45</v>
      </c>
      <c r="B125" s="6" t="s">
        <v>205</v>
      </c>
      <c r="C125" s="6" t="s">
        <v>68</v>
      </c>
      <c r="D125" s="6" t="s">
        <v>61</v>
      </c>
    </row>
    <row r="126" spans="1:4" x14ac:dyDescent="0.3">
      <c r="A126" s="7">
        <v>45</v>
      </c>
      <c r="B126" s="6" t="s">
        <v>206</v>
      </c>
      <c r="C126" s="6" t="s">
        <v>68</v>
      </c>
      <c r="D126" s="6" t="s">
        <v>61</v>
      </c>
    </row>
    <row r="127" spans="1:4" x14ac:dyDescent="0.3">
      <c r="A127" s="7">
        <v>30</v>
      </c>
      <c r="B127" s="6" t="s">
        <v>207</v>
      </c>
      <c r="C127" s="6" t="s">
        <v>68</v>
      </c>
      <c r="D127" s="6" t="s">
        <v>61</v>
      </c>
    </row>
    <row r="128" spans="1:4" x14ac:dyDescent="0.3">
      <c r="A128" s="7">
        <v>40</v>
      </c>
      <c r="B128" s="6" t="s">
        <v>208</v>
      </c>
      <c r="C128" s="6" t="s">
        <v>68</v>
      </c>
      <c r="D128" s="6" t="s">
        <v>61</v>
      </c>
    </row>
    <row r="129" spans="1:4" x14ac:dyDescent="0.3">
      <c r="A129" s="7">
        <v>50</v>
      </c>
      <c r="B129" s="6" t="s">
        <v>209</v>
      </c>
      <c r="C129" s="6" t="s">
        <v>68</v>
      </c>
      <c r="D129" s="6" t="s">
        <v>61</v>
      </c>
    </row>
    <row r="130" spans="1:4" x14ac:dyDescent="0.3">
      <c r="A130" s="7">
        <v>2000</v>
      </c>
      <c r="B130" s="6" t="s">
        <v>210</v>
      </c>
      <c r="C130" s="6" t="s">
        <v>68</v>
      </c>
      <c r="D130" s="6" t="s">
        <v>61</v>
      </c>
    </row>
    <row r="131" spans="1:4" x14ac:dyDescent="0.3">
      <c r="A131" s="13">
        <v>305</v>
      </c>
      <c r="B131" s="6" t="s">
        <v>211</v>
      </c>
      <c r="C131" s="6" t="s">
        <v>212</v>
      </c>
      <c r="D131" s="6" t="s">
        <v>75</v>
      </c>
    </row>
    <row r="132" spans="1:4" x14ac:dyDescent="0.3">
      <c r="A132" s="7">
        <v>90</v>
      </c>
      <c r="B132" s="6" t="s">
        <v>213</v>
      </c>
      <c r="C132" s="6" t="s">
        <v>119</v>
      </c>
      <c r="D132" s="6" t="s">
        <v>120</v>
      </c>
    </row>
    <row r="133" spans="1:4" x14ac:dyDescent="0.3">
      <c r="A133" s="7">
        <v>30</v>
      </c>
      <c r="B133" s="6" t="s">
        <v>214</v>
      </c>
      <c r="C133" s="6" t="s">
        <v>119</v>
      </c>
      <c r="D133" s="6" t="s">
        <v>120</v>
      </c>
    </row>
    <row r="134" spans="1:4" x14ac:dyDescent="0.3">
      <c r="A134" s="7">
        <v>70</v>
      </c>
      <c r="B134" s="6" t="s">
        <v>215</v>
      </c>
      <c r="C134" s="6" t="s">
        <v>119</v>
      </c>
      <c r="D134" s="6" t="s">
        <v>120</v>
      </c>
    </row>
    <row r="135" spans="1:4" x14ac:dyDescent="0.3">
      <c r="A135" s="23">
        <v>785</v>
      </c>
      <c r="B135" s="24" t="s">
        <v>216</v>
      </c>
      <c r="C135" s="24" t="s">
        <v>71</v>
      </c>
      <c r="D135" s="24" t="s">
        <v>72</v>
      </c>
    </row>
    <row r="136" spans="1:4" x14ac:dyDescent="0.3">
      <c r="A136" s="7">
        <v>25</v>
      </c>
      <c r="B136" s="6" t="s">
        <v>217</v>
      </c>
      <c r="C136" s="6" t="s">
        <v>119</v>
      </c>
      <c r="D136" s="6" t="s">
        <v>120</v>
      </c>
    </row>
    <row r="137" spans="1:4" x14ac:dyDescent="0.3">
      <c r="A137" s="7">
        <v>25</v>
      </c>
      <c r="B137" s="6" t="s">
        <v>218</v>
      </c>
      <c r="C137" s="6" t="s">
        <v>119</v>
      </c>
      <c r="D137" s="6" t="s">
        <v>120</v>
      </c>
    </row>
    <row r="138" spans="1:4" x14ac:dyDescent="0.3">
      <c r="A138" s="7">
        <v>120</v>
      </c>
      <c r="B138" s="6" t="s">
        <v>219</v>
      </c>
      <c r="C138" s="6" t="s">
        <v>119</v>
      </c>
      <c r="D138" s="6" t="s">
        <v>120</v>
      </c>
    </row>
    <row r="139" spans="1:4" x14ac:dyDescent="0.3">
      <c r="A139" s="7">
        <v>50</v>
      </c>
      <c r="B139" s="6" t="s">
        <v>220</v>
      </c>
      <c r="C139" s="6" t="s">
        <v>119</v>
      </c>
      <c r="D139" s="6" t="s">
        <v>120</v>
      </c>
    </row>
    <row r="140" spans="1:4" x14ac:dyDescent="0.3">
      <c r="A140" s="7">
        <v>100</v>
      </c>
      <c r="B140" s="6" t="s">
        <v>221</v>
      </c>
      <c r="C140" s="6" t="s">
        <v>119</v>
      </c>
      <c r="D140" s="6" t="s">
        <v>120</v>
      </c>
    </row>
    <row r="141" spans="1:4" x14ac:dyDescent="0.3">
      <c r="A141" s="7">
        <v>100</v>
      </c>
      <c r="B141" s="6" t="s">
        <v>222</v>
      </c>
      <c r="C141" s="6" t="s">
        <v>119</v>
      </c>
      <c r="D141" s="6" t="s">
        <v>120</v>
      </c>
    </row>
    <row r="142" spans="1:4" x14ac:dyDescent="0.3">
      <c r="A142" s="7">
        <v>50</v>
      </c>
      <c r="B142" s="6" t="s">
        <v>223</v>
      </c>
      <c r="C142" s="6" t="s">
        <v>119</v>
      </c>
      <c r="D142" s="6" t="s">
        <v>120</v>
      </c>
    </row>
    <row r="143" spans="1:4" x14ac:dyDescent="0.3">
      <c r="A143" s="7">
        <v>50</v>
      </c>
      <c r="B143" s="6" t="s">
        <v>224</v>
      </c>
      <c r="C143" s="6" t="s">
        <v>119</v>
      </c>
      <c r="D143" s="6" t="s">
        <v>120</v>
      </c>
    </row>
    <row r="144" spans="1:4" x14ac:dyDescent="0.3">
      <c r="A144" s="7">
        <v>50</v>
      </c>
      <c r="B144" s="6" t="s">
        <v>225</v>
      </c>
      <c r="C144" s="6" t="s">
        <v>119</v>
      </c>
      <c r="D144" s="6" t="s">
        <v>120</v>
      </c>
    </row>
    <row r="145" spans="1:4" x14ac:dyDescent="0.3">
      <c r="A145" s="7">
        <v>105</v>
      </c>
      <c r="B145" s="6" t="s">
        <v>226</v>
      </c>
      <c r="C145" s="6" t="s">
        <v>119</v>
      </c>
      <c r="D145" s="6" t="s">
        <v>120</v>
      </c>
    </row>
    <row r="146" spans="1:4" x14ac:dyDescent="0.3">
      <c r="A146" s="7">
        <v>45</v>
      </c>
      <c r="B146" s="6" t="s">
        <v>227</v>
      </c>
      <c r="C146" s="6" t="s">
        <v>119</v>
      </c>
      <c r="D146" s="6" t="s">
        <v>120</v>
      </c>
    </row>
    <row r="147" spans="1:4" x14ac:dyDescent="0.3">
      <c r="A147" s="7">
        <v>30</v>
      </c>
      <c r="B147" s="6" t="s">
        <v>228</v>
      </c>
      <c r="C147" s="6" t="s">
        <v>119</v>
      </c>
      <c r="D147" s="6" t="s">
        <v>120</v>
      </c>
    </row>
    <row r="148" spans="1:4" x14ac:dyDescent="0.3">
      <c r="A148" s="13">
        <v>3850</v>
      </c>
      <c r="B148" s="6" t="s">
        <v>229</v>
      </c>
      <c r="C148" s="6" t="s">
        <v>212</v>
      </c>
      <c r="D148" s="6" t="s">
        <v>75</v>
      </c>
    </row>
    <row r="149" spans="1:4" x14ac:dyDescent="0.3">
      <c r="A149" s="7">
        <v>60</v>
      </c>
      <c r="B149" s="6" t="s">
        <v>230</v>
      </c>
      <c r="C149" s="6" t="s">
        <v>119</v>
      </c>
      <c r="D149" s="6" t="s">
        <v>120</v>
      </c>
    </row>
    <row r="150" spans="1:4" x14ac:dyDescent="0.3">
      <c r="A150" s="7">
        <v>40</v>
      </c>
      <c r="B150" s="6" t="s">
        <v>231</v>
      </c>
      <c r="C150" s="6" t="s">
        <v>119</v>
      </c>
      <c r="D150" s="6" t="s">
        <v>120</v>
      </c>
    </row>
    <row r="151" spans="1:4" x14ac:dyDescent="0.3">
      <c r="A151" s="7">
        <v>35</v>
      </c>
      <c r="B151" s="6" t="s">
        <v>232</v>
      </c>
      <c r="C151" s="6" t="s">
        <v>119</v>
      </c>
      <c r="D151" s="6" t="s">
        <v>120</v>
      </c>
    </row>
    <row r="152" spans="1:4" x14ac:dyDescent="0.3">
      <c r="A152" s="7">
        <v>155</v>
      </c>
      <c r="B152" s="6" t="s">
        <v>233</v>
      </c>
      <c r="C152" s="6" t="s">
        <v>119</v>
      </c>
      <c r="D152" s="6" t="s">
        <v>120</v>
      </c>
    </row>
    <row r="153" spans="1:4" x14ac:dyDescent="0.3">
      <c r="A153" s="7">
        <v>40</v>
      </c>
      <c r="B153" s="6" t="s">
        <v>234</v>
      </c>
      <c r="C153" s="6" t="s">
        <v>119</v>
      </c>
      <c r="D153" s="6" t="s">
        <v>120</v>
      </c>
    </row>
    <row r="154" spans="1:4" x14ac:dyDescent="0.3">
      <c r="A154" s="7">
        <v>35</v>
      </c>
      <c r="B154" s="6" t="s">
        <v>235</v>
      </c>
      <c r="C154" s="6" t="s">
        <v>119</v>
      </c>
      <c r="D154" s="6" t="s">
        <v>120</v>
      </c>
    </row>
    <row r="155" spans="1:4" x14ac:dyDescent="0.3">
      <c r="A155" s="7">
        <v>2500</v>
      </c>
      <c r="B155" s="6" t="s">
        <v>236</v>
      </c>
      <c r="C155" s="6" t="s">
        <v>128</v>
      </c>
      <c r="D155" s="6" t="s">
        <v>75</v>
      </c>
    </row>
    <row r="156" spans="1:4" x14ac:dyDescent="0.3">
      <c r="A156" s="7">
        <v>80</v>
      </c>
      <c r="B156" s="6" t="s">
        <v>237</v>
      </c>
      <c r="C156" s="6" t="s">
        <v>119</v>
      </c>
      <c r="D156" s="6" t="s">
        <v>120</v>
      </c>
    </row>
    <row r="157" spans="1:4" x14ac:dyDescent="0.3">
      <c r="A157" s="7">
        <v>120</v>
      </c>
      <c r="B157" s="6" t="s">
        <v>238</v>
      </c>
      <c r="C157" s="6" t="s">
        <v>119</v>
      </c>
      <c r="D157" s="6" t="s">
        <v>120</v>
      </c>
    </row>
    <row r="158" spans="1:4" x14ac:dyDescent="0.3">
      <c r="A158" s="7">
        <v>65</v>
      </c>
      <c r="B158" s="6" t="s">
        <v>239</v>
      </c>
      <c r="C158" s="6" t="s">
        <v>119</v>
      </c>
      <c r="D158" s="6" t="s">
        <v>120</v>
      </c>
    </row>
    <row r="159" spans="1:4" x14ac:dyDescent="0.3">
      <c r="A159" s="7">
        <v>55</v>
      </c>
      <c r="B159" s="6" t="s">
        <v>240</v>
      </c>
      <c r="C159" s="6" t="s">
        <v>119</v>
      </c>
      <c r="D159" s="6" t="s">
        <v>120</v>
      </c>
    </row>
    <row r="160" spans="1:4" x14ac:dyDescent="0.3">
      <c r="A160" s="7">
        <v>60</v>
      </c>
      <c r="B160" s="6" t="s">
        <v>241</v>
      </c>
      <c r="C160" s="6" t="s">
        <v>119</v>
      </c>
      <c r="D160" s="6" t="s">
        <v>120</v>
      </c>
    </row>
    <row r="161" spans="1:4" x14ac:dyDescent="0.3">
      <c r="A161" s="7">
        <v>110</v>
      </c>
      <c r="B161" s="6" t="s">
        <v>242</v>
      </c>
      <c r="C161" s="6" t="s">
        <v>119</v>
      </c>
      <c r="D161" s="6" t="s">
        <v>120</v>
      </c>
    </row>
    <row r="162" spans="1:4" x14ac:dyDescent="0.3">
      <c r="A162" s="7">
        <v>70</v>
      </c>
      <c r="B162" s="6" t="s">
        <v>243</v>
      </c>
      <c r="C162" s="6" t="s">
        <v>119</v>
      </c>
      <c r="D162" s="6" t="s">
        <v>120</v>
      </c>
    </row>
    <row r="163" spans="1:4" x14ac:dyDescent="0.3">
      <c r="A163" s="7">
        <v>200</v>
      </c>
      <c r="B163" s="6" t="s">
        <v>244</v>
      </c>
      <c r="C163" s="6" t="s">
        <v>119</v>
      </c>
      <c r="D163" s="6" t="s">
        <v>120</v>
      </c>
    </row>
    <row r="164" spans="1:4" x14ac:dyDescent="0.3">
      <c r="A164" s="7">
        <v>100</v>
      </c>
      <c r="B164" s="6" t="s">
        <v>245</v>
      </c>
      <c r="C164" s="6" t="s">
        <v>119</v>
      </c>
      <c r="D164" s="6" t="s">
        <v>120</v>
      </c>
    </row>
    <row r="165" spans="1:4" x14ac:dyDescent="0.3">
      <c r="A165" s="13">
        <v>70</v>
      </c>
      <c r="B165" s="6" t="s">
        <v>246</v>
      </c>
      <c r="C165" s="6" t="s">
        <v>114</v>
      </c>
      <c r="D165" s="6" t="s">
        <v>61</v>
      </c>
    </row>
    <row r="166" spans="1:4" x14ac:dyDescent="0.3">
      <c r="A166" s="7">
        <v>90</v>
      </c>
      <c r="B166" s="6" t="s">
        <v>247</v>
      </c>
      <c r="C166" s="6" t="s">
        <v>88</v>
      </c>
      <c r="D166" s="6" t="s">
        <v>61</v>
      </c>
    </row>
    <row r="167" spans="1:4" x14ac:dyDescent="0.3">
      <c r="A167" s="7">
        <v>120</v>
      </c>
      <c r="B167" s="6" t="s">
        <v>248</v>
      </c>
      <c r="C167" s="6" t="s">
        <v>119</v>
      </c>
      <c r="D167" s="6" t="s">
        <v>120</v>
      </c>
    </row>
    <row r="168" spans="1:4" x14ac:dyDescent="0.3">
      <c r="A168" s="7">
        <v>280</v>
      </c>
      <c r="B168" s="6" t="s">
        <v>249</v>
      </c>
      <c r="C168" s="6" t="s">
        <v>119</v>
      </c>
      <c r="D168" s="6" t="s">
        <v>120</v>
      </c>
    </row>
    <row r="169" spans="1:4" x14ac:dyDescent="0.3">
      <c r="A169" s="7">
        <v>20</v>
      </c>
      <c r="B169" s="6" t="s">
        <v>250</v>
      </c>
      <c r="C169" s="6" t="s">
        <v>119</v>
      </c>
      <c r="D169" s="6" t="s">
        <v>120</v>
      </c>
    </row>
    <row r="170" spans="1:4" x14ac:dyDescent="0.3">
      <c r="A170" s="7">
        <v>20</v>
      </c>
      <c r="B170" s="6" t="s">
        <v>251</v>
      </c>
      <c r="C170" s="6" t="s">
        <v>119</v>
      </c>
      <c r="D170" s="6" t="s">
        <v>120</v>
      </c>
    </row>
    <row r="171" spans="1:4" x14ac:dyDescent="0.3">
      <c r="A171" s="22">
        <v>1120</v>
      </c>
      <c r="B171" s="6" t="s">
        <v>252</v>
      </c>
      <c r="C171" s="6" t="s">
        <v>253</v>
      </c>
      <c r="D171" s="6" t="s">
        <v>72</v>
      </c>
    </row>
    <row r="172" spans="1:4" x14ac:dyDescent="0.3">
      <c r="A172" s="13">
        <v>8000</v>
      </c>
      <c r="B172" s="6" t="s">
        <v>254</v>
      </c>
      <c r="C172" s="6" t="s">
        <v>255</v>
      </c>
      <c r="D172" s="6" t="s">
        <v>61</v>
      </c>
    </row>
    <row r="173" spans="1:4" x14ac:dyDescent="0.3">
      <c r="A173" s="7">
        <v>45</v>
      </c>
      <c r="B173" s="6" t="s">
        <v>256</v>
      </c>
      <c r="C173" s="6" t="s">
        <v>119</v>
      </c>
      <c r="D173" s="6" t="s">
        <v>120</v>
      </c>
    </row>
    <row r="174" spans="1:4" x14ac:dyDescent="0.3">
      <c r="A174" s="7">
        <v>40</v>
      </c>
      <c r="B174" s="6" t="s">
        <v>257</v>
      </c>
      <c r="C174" s="6" t="s">
        <v>119</v>
      </c>
      <c r="D174" s="6" t="s">
        <v>120</v>
      </c>
    </row>
    <row r="175" spans="1:4" x14ac:dyDescent="0.3">
      <c r="A175" s="7">
        <v>50</v>
      </c>
      <c r="B175" s="6" t="s">
        <v>258</v>
      </c>
      <c r="C175" s="6" t="s">
        <v>176</v>
      </c>
      <c r="D175" s="6" t="s">
        <v>72</v>
      </c>
    </row>
    <row r="176" spans="1:4" x14ac:dyDescent="0.3">
      <c r="A176" s="7">
        <v>25</v>
      </c>
      <c r="B176" s="6" t="s">
        <v>259</v>
      </c>
      <c r="C176" s="6" t="s">
        <v>119</v>
      </c>
      <c r="D176" s="6" t="s">
        <v>120</v>
      </c>
    </row>
    <row r="177" spans="1:4" x14ac:dyDescent="0.3">
      <c r="A177" s="7">
        <v>20</v>
      </c>
      <c r="B177" s="6" t="s">
        <v>260</v>
      </c>
      <c r="C177" s="6" t="s">
        <v>119</v>
      </c>
      <c r="D177" s="6" t="s">
        <v>120</v>
      </c>
    </row>
    <row r="178" spans="1:4" x14ac:dyDescent="0.3">
      <c r="A178" s="7">
        <v>20</v>
      </c>
      <c r="B178" s="6" t="s">
        <v>261</v>
      </c>
      <c r="C178" s="6" t="s">
        <v>255</v>
      </c>
      <c r="D178" s="6" t="s">
        <v>61</v>
      </c>
    </row>
    <row r="179" spans="1:4" x14ac:dyDescent="0.3">
      <c r="A179" s="7">
        <v>100</v>
      </c>
      <c r="B179" s="6" t="s">
        <v>262</v>
      </c>
      <c r="C179" s="6" t="s">
        <v>119</v>
      </c>
      <c r="D179" s="6" t="s">
        <v>120</v>
      </c>
    </row>
    <row r="180" spans="1:4" x14ac:dyDescent="0.3">
      <c r="A180" s="7">
        <v>100</v>
      </c>
      <c r="B180" s="6" t="s">
        <v>263</v>
      </c>
      <c r="C180" s="6" t="s">
        <v>119</v>
      </c>
      <c r="D180" s="6" t="s">
        <v>120</v>
      </c>
    </row>
    <row r="181" spans="1:4" x14ac:dyDescent="0.3">
      <c r="A181" s="7">
        <v>25</v>
      </c>
      <c r="B181" s="6" t="s">
        <v>264</v>
      </c>
      <c r="C181" s="6" t="s">
        <v>119</v>
      </c>
      <c r="D181" s="6" t="s">
        <v>120</v>
      </c>
    </row>
    <row r="182" spans="1:4" x14ac:dyDescent="0.3">
      <c r="A182" s="7">
        <v>45</v>
      </c>
      <c r="B182" s="6" t="s">
        <v>265</v>
      </c>
      <c r="C182" s="6" t="s">
        <v>119</v>
      </c>
      <c r="D182" s="6" t="s">
        <v>120</v>
      </c>
    </row>
    <row r="183" spans="1:4" x14ac:dyDescent="0.3">
      <c r="A183" s="7">
        <v>50</v>
      </c>
      <c r="B183" s="6" t="s">
        <v>266</v>
      </c>
      <c r="C183" s="6" t="s">
        <v>119</v>
      </c>
      <c r="D183" s="6" t="s">
        <v>120</v>
      </c>
    </row>
    <row r="184" spans="1:4" x14ac:dyDescent="0.3">
      <c r="A184" s="7">
        <v>55</v>
      </c>
      <c r="B184" s="6" t="s">
        <v>267</v>
      </c>
      <c r="C184" s="6" t="s">
        <v>119</v>
      </c>
      <c r="D184" s="6" t="s">
        <v>120</v>
      </c>
    </row>
    <row r="185" spans="1:4" x14ac:dyDescent="0.3">
      <c r="A185" s="7">
        <v>65</v>
      </c>
      <c r="B185" s="6" t="s">
        <v>268</v>
      </c>
      <c r="C185" s="6" t="s">
        <v>119</v>
      </c>
      <c r="D185" s="6" t="s">
        <v>120</v>
      </c>
    </row>
    <row r="186" spans="1:4" x14ac:dyDescent="0.3">
      <c r="A186" s="7">
        <v>40</v>
      </c>
      <c r="B186" s="6" t="s">
        <v>269</v>
      </c>
      <c r="C186" s="6" t="s">
        <v>119</v>
      </c>
      <c r="D186" s="6" t="s">
        <v>120</v>
      </c>
    </row>
    <row r="187" spans="1:4" x14ac:dyDescent="0.3">
      <c r="A187" s="7">
        <v>40</v>
      </c>
      <c r="B187" s="6" t="s">
        <v>270</v>
      </c>
      <c r="C187" s="6" t="s">
        <v>119</v>
      </c>
      <c r="D187" s="6" t="s">
        <v>120</v>
      </c>
    </row>
    <row r="188" spans="1:4" x14ac:dyDescent="0.3">
      <c r="A188" s="7">
        <v>40</v>
      </c>
      <c r="B188" s="6" t="s">
        <v>271</v>
      </c>
      <c r="C188" s="6" t="s">
        <v>119</v>
      </c>
      <c r="D188" s="6" t="s">
        <v>120</v>
      </c>
    </row>
    <row r="189" spans="1:4" x14ac:dyDescent="0.3">
      <c r="A189" s="7">
        <v>100</v>
      </c>
      <c r="B189" s="6" t="s">
        <v>272</v>
      </c>
      <c r="C189" s="6" t="s">
        <v>114</v>
      </c>
      <c r="D189" s="6" t="s">
        <v>61</v>
      </c>
    </row>
    <row r="190" spans="1:4" x14ac:dyDescent="0.3">
      <c r="A190" s="7">
        <v>100</v>
      </c>
      <c r="B190" s="6" t="s">
        <v>273</v>
      </c>
      <c r="C190" s="6" t="s">
        <v>255</v>
      </c>
      <c r="D190" s="6" t="s">
        <v>61</v>
      </c>
    </row>
    <row r="191" spans="1:4" x14ac:dyDescent="0.3">
      <c r="A191" s="7">
        <v>195</v>
      </c>
      <c r="B191" s="6" t="s">
        <v>274</v>
      </c>
      <c r="C191" s="6" t="s">
        <v>60</v>
      </c>
      <c r="D191" s="6" t="s">
        <v>61</v>
      </c>
    </row>
    <row r="192" spans="1:4" x14ac:dyDescent="0.3">
      <c r="A192" s="7">
        <v>30</v>
      </c>
      <c r="B192" s="6" t="s">
        <v>261</v>
      </c>
      <c r="C192" s="6" t="s">
        <v>255</v>
      </c>
      <c r="D192" s="6" t="s">
        <v>61</v>
      </c>
    </row>
    <row r="193" spans="1:4" x14ac:dyDescent="0.3">
      <c r="A193" s="23">
        <v>630</v>
      </c>
      <c r="B193" s="24" t="s">
        <v>275</v>
      </c>
      <c r="C193" s="24" t="s">
        <v>276</v>
      </c>
      <c r="D193" s="24" t="s">
        <v>174</v>
      </c>
    </row>
    <row r="194" spans="1:4" x14ac:dyDescent="0.3">
      <c r="A194" s="7">
        <v>75</v>
      </c>
      <c r="B194" s="6" t="s">
        <v>277</v>
      </c>
      <c r="C194" s="6" t="s">
        <v>119</v>
      </c>
      <c r="D194" s="6" t="s">
        <v>120</v>
      </c>
    </row>
    <row r="195" spans="1:4" x14ac:dyDescent="0.3">
      <c r="A195" s="7">
        <v>8150</v>
      </c>
      <c r="B195" s="6" t="s">
        <v>278</v>
      </c>
      <c r="C195" s="6" t="s">
        <v>279</v>
      </c>
      <c r="D195" s="6" t="s">
        <v>72</v>
      </c>
    </row>
    <row r="196" spans="1:4" x14ac:dyDescent="0.3">
      <c r="A196" s="7">
        <v>35</v>
      </c>
      <c r="B196" s="6" t="s">
        <v>280</v>
      </c>
      <c r="C196" s="6" t="s">
        <v>119</v>
      </c>
      <c r="D196" s="6" t="s">
        <v>120</v>
      </c>
    </row>
    <row r="197" spans="1:4" x14ac:dyDescent="0.3">
      <c r="A197" s="7">
        <v>160</v>
      </c>
      <c r="B197" s="6" t="s">
        <v>281</v>
      </c>
      <c r="C197" s="6" t="s">
        <v>119</v>
      </c>
      <c r="D197" s="6" t="s">
        <v>120</v>
      </c>
    </row>
    <row r="198" spans="1:4" x14ac:dyDescent="0.3">
      <c r="A198" s="7">
        <v>60</v>
      </c>
      <c r="B198" s="6" t="s">
        <v>282</v>
      </c>
      <c r="C198" s="6" t="s">
        <v>119</v>
      </c>
      <c r="D198" s="6" t="s">
        <v>120</v>
      </c>
    </row>
    <row r="199" spans="1:4" x14ac:dyDescent="0.3">
      <c r="A199" s="7">
        <v>150</v>
      </c>
      <c r="B199" s="6" t="s">
        <v>283</v>
      </c>
      <c r="C199" s="6" t="s">
        <v>63</v>
      </c>
      <c r="D199" s="6" t="s">
        <v>61</v>
      </c>
    </row>
    <row r="200" spans="1:4" x14ac:dyDescent="0.3">
      <c r="A200" s="7">
        <v>20</v>
      </c>
      <c r="B200" s="6" t="s">
        <v>82</v>
      </c>
      <c r="C200" s="6" t="s">
        <v>94</v>
      </c>
      <c r="D200" s="6" t="s">
        <v>61</v>
      </c>
    </row>
    <row r="201" spans="1:4" x14ac:dyDescent="0.3">
      <c r="A201" s="7">
        <v>165</v>
      </c>
      <c r="B201" s="6" t="s">
        <v>284</v>
      </c>
      <c r="C201" s="6" t="s">
        <v>119</v>
      </c>
      <c r="D201" s="6" t="s">
        <v>120</v>
      </c>
    </row>
    <row r="202" spans="1:4" x14ac:dyDescent="0.3">
      <c r="A202" s="7">
        <v>35</v>
      </c>
      <c r="B202" s="6" t="s">
        <v>285</v>
      </c>
      <c r="C202" s="6" t="s">
        <v>119</v>
      </c>
      <c r="D202" s="6" t="s">
        <v>120</v>
      </c>
    </row>
    <row r="203" spans="1:4" x14ac:dyDescent="0.3">
      <c r="A203" s="7">
        <v>40</v>
      </c>
      <c r="B203" s="6" t="s">
        <v>286</v>
      </c>
      <c r="C203" s="6" t="s">
        <v>119</v>
      </c>
      <c r="D203" s="6" t="s">
        <v>120</v>
      </c>
    </row>
    <row r="204" spans="1:4" x14ac:dyDescent="0.3">
      <c r="A204" s="7">
        <v>45</v>
      </c>
      <c r="B204" s="6" t="s">
        <v>287</v>
      </c>
      <c r="C204" s="6" t="s">
        <v>119</v>
      </c>
      <c r="D204" s="6" t="s">
        <v>120</v>
      </c>
    </row>
    <row r="205" spans="1:4" x14ac:dyDescent="0.3">
      <c r="A205" s="7">
        <v>45</v>
      </c>
      <c r="B205" s="6" t="s">
        <v>288</v>
      </c>
      <c r="C205" s="6" t="s">
        <v>119</v>
      </c>
      <c r="D205" s="6" t="s">
        <v>120</v>
      </c>
    </row>
    <row r="206" spans="1:4" x14ac:dyDescent="0.3">
      <c r="A206" s="7">
        <v>45</v>
      </c>
      <c r="B206" s="6" t="s">
        <v>59</v>
      </c>
      <c r="C206" s="6" t="s">
        <v>119</v>
      </c>
      <c r="D206" s="6" t="s">
        <v>120</v>
      </c>
    </row>
    <row r="207" spans="1:4" x14ac:dyDescent="0.3">
      <c r="A207" s="7">
        <v>45</v>
      </c>
      <c r="B207" s="6" t="s">
        <v>289</v>
      </c>
      <c r="C207" s="6" t="s">
        <v>119</v>
      </c>
      <c r="D207" s="6" t="s">
        <v>120</v>
      </c>
    </row>
    <row r="208" spans="1:4" x14ac:dyDescent="0.3">
      <c r="A208" s="7">
        <v>45</v>
      </c>
      <c r="B208" s="6" t="s">
        <v>290</v>
      </c>
      <c r="C208" s="6" t="s">
        <v>119</v>
      </c>
      <c r="D208" s="6" t="s">
        <v>120</v>
      </c>
    </row>
    <row r="209" spans="1:5" x14ac:dyDescent="0.3">
      <c r="A209" s="7">
        <v>120</v>
      </c>
      <c r="B209" s="6" t="s">
        <v>291</v>
      </c>
      <c r="C209" s="6" t="s">
        <v>119</v>
      </c>
      <c r="D209" s="6" t="s">
        <v>120</v>
      </c>
    </row>
    <row r="210" spans="1:5" x14ac:dyDescent="0.3">
      <c r="A210" s="7">
        <v>420</v>
      </c>
      <c r="B210" s="6" t="s">
        <v>292</v>
      </c>
      <c r="C210" s="6" t="s">
        <v>119</v>
      </c>
      <c r="D210" s="6" t="s">
        <v>120</v>
      </c>
    </row>
    <row r="211" spans="1:5" x14ac:dyDescent="0.3">
      <c r="A211" s="7">
        <v>3000</v>
      </c>
      <c r="B211" s="6" t="s">
        <v>293</v>
      </c>
      <c r="C211" s="6" t="s">
        <v>128</v>
      </c>
      <c r="D211" s="6" t="s">
        <v>75</v>
      </c>
    </row>
    <row r="212" spans="1:5" x14ac:dyDescent="0.3">
      <c r="A212" s="7">
        <v>60</v>
      </c>
      <c r="B212" s="6" t="s">
        <v>294</v>
      </c>
      <c r="C212" s="6" t="s">
        <v>88</v>
      </c>
      <c r="D212" s="6" t="s">
        <v>61</v>
      </c>
    </row>
    <row r="213" spans="1:5" x14ac:dyDescent="0.3">
      <c r="A213" s="7">
        <v>75</v>
      </c>
      <c r="B213" s="6" t="s">
        <v>295</v>
      </c>
      <c r="C213" s="6" t="s">
        <v>71</v>
      </c>
      <c r="D213" s="6" t="s">
        <v>72</v>
      </c>
    </row>
    <row r="214" spans="1:5" x14ac:dyDescent="0.3">
      <c r="A214" s="7">
        <v>60</v>
      </c>
      <c r="B214" s="6" t="s">
        <v>296</v>
      </c>
      <c r="C214" s="6" t="s">
        <v>71</v>
      </c>
      <c r="D214" s="6" t="s">
        <v>72</v>
      </c>
    </row>
    <row r="215" spans="1:5" x14ac:dyDescent="0.3">
      <c r="A215" s="7">
        <v>75</v>
      </c>
      <c r="B215" s="6" t="s">
        <v>297</v>
      </c>
      <c r="C215" s="6" t="s">
        <v>71</v>
      </c>
      <c r="D215" s="6" t="s">
        <v>72</v>
      </c>
    </row>
    <row r="216" spans="1:5" x14ac:dyDescent="0.3">
      <c r="A216" s="7">
        <v>40</v>
      </c>
      <c r="B216" s="6" t="s">
        <v>298</v>
      </c>
      <c r="C216" s="6" t="s">
        <v>71</v>
      </c>
      <c r="D216" s="6" t="s">
        <v>72</v>
      </c>
    </row>
    <row r="217" spans="1:5" x14ac:dyDescent="0.3">
      <c r="A217" s="7">
        <v>200</v>
      </c>
      <c r="B217" s="6" t="s">
        <v>299</v>
      </c>
      <c r="C217" s="6" t="s">
        <v>88</v>
      </c>
      <c r="D217" s="6" t="s">
        <v>61</v>
      </c>
    </row>
    <row r="218" spans="1:5" x14ac:dyDescent="0.3">
      <c r="A218" s="7">
        <v>20</v>
      </c>
      <c r="B218" s="6" t="s">
        <v>300</v>
      </c>
      <c r="C218" s="6" t="s">
        <v>119</v>
      </c>
      <c r="D218" s="6" t="s">
        <v>120</v>
      </c>
    </row>
    <row r="219" spans="1:5" x14ac:dyDescent="0.3">
      <c r="A219" s="7">
        <v>200</v>
      </c>
      <c r="B219" s="6" t="s">
        <v>299</v>
      </c>
      <c r="C219" s="6" t="s">
        <v>88</v>
      </c>
      <c r="D219" s="6" t="s">
        <v>61</v>
      </c>
    </row>
    <row r="220" spans="1:5" x14ac:dyDescent="0.3">
      <c r="A220" s="7">
        <v>35</v>
      </c>
      <c r="B220" s="6" t="s">
        <v>301</v>
      </c>
      <c r="C220" s="6" t="s">
        <v>119</v>
      </c>
      <c r="D220" s="6" t="s">
        <v>120</v>
      </c>
    </row>
    <row r="221" spans="1:5" x14ac:dyDescent="0.3">
      <c r="A221" s="7">
        <v>40</v>
      </c>
      <c r="B221" s="6" t="s">
        <v>302</v>
      </c>
      <c r="C221" s="6" t="s">
        <v>119</v>
      </c>
      <c r="D221" s="6" t="s">
        <v>120</v>
      </c>
    </row>
    <row r="222" spans="1:5" x14ac:dyDescent="0.3">
      <c r="A222" s="7">
        <v>45</v>
      </c>
      <c r="B222" s="6" t="s">
        <v>303</v>
      </c>
      <c r="C222" s="6" t="s">
        <v>119</v>
      </c>
      <c r="D222" s="6" t="s">
        <v>120</v>
      </c>
    </row>
    <row r="223" spans="1:5" x14ac:dyDescent="0.3">
      <c r="A223" s="7">
        <v>4650</v>
      </c>
      <c r="B223" s="6" t="s">
        <v>304</v>
      </c>
      <c r="C223" s="6" t="s">
        <v>279</v>
      </c>
      <c r="D223" s="6" t="s">
        <v>72</v>
      </c>
    </row>
    <row r="224" spans="1:5" x14ac:dyDescent="0.3">
      <c r="A224" s="13">
        <v>1400</v>
      </c>
      <c r="B224" s="6" t="s">
        <v>305</v>
      </c>
      <c r="C224" s="6" t="s">
        <v>60</v>
      </c>
      <c r="D224" s="6" t="s">
        <v>61</v>
      </c>
      <c r="E224" s="38" t="s">
        <v>501</v>
      </c>
    </row>
    <row r="225" spans="1:4" x14ac:dyDescent="0.3">
      <c r="A225" s="7">
        <v>470</v>
      </c>
      <c r="B225" s="6" t="s">
        <v>306</v>
      </c>
      <c r="C225" s="6" t="s">
        <v>71</v>
      </c>
      <c r="D225" s="6" t="s">
        <v>72</v>
      </c>
    </row>
    <row r="226" spans="1:4" x14ac:dyDescent="0.3">
      <c r="A226" s="7">
        <v>160</v>
      </c>
      <c r="B226" s="6" t="s">
        <v>307</v>
      </c>
      <c r="C226" s="6" t="s">
        <v>119</v>
      </c>
      <c r="D226" s="6" t="s">
        <v>120</v>
      </c>
    </row>
    <row r="227" spans="1:4" x14ac:dyDescent="0.3">
      <c r="A227" s="7">
        <v>120</v>
      </c>
      <c r="B227" s="6" t="s">
        <v>308</v>
      </c>
      <c r="C227" s="6" t="s">
        <v>119</v>
      </c>
      <c r="D227" s="6" t="s">
        <v>120</v>
      </c>
    </row>
    <row r="228" spans="1:4" x14ac:dyDescent="0.3">
      <c r="A228" s="7">
        <v>450</v>
      </c>
      <c r="B228" s="6" t="s">
        <v>299</v>
      </c>
      <c r="C228" s="6" t="s">
        <v>88</v>
      </c>
      <c r="D228" s="6" t="s">
        <v>61</v>
      </c>
    </row>
    <row r="229" spans="1:4" x14ac:dyDescent="0.3">
      <c r="A229" s="7">
        <v>190</v>
      </c>
      <c r="B229" s="6" t="s">
        <v>90</v>
      </c>
      <c r="C229" s="6" t="s">
        <v>88</v>
      </c>
      <c r="D229" s="6" t="s">
        <v>61</v>
      </c>
    </row>
    <row r="230" spans="1:4" x14ac:dyDescent="0.3">
      <c r="A230" s="7">
        <v>20</v>
      </c>
      <c r="B230" s="6" t="s">
        <v>309</v>
      </c>
      <c r="C230" s="6" t="s">
        <v>114</v>
      </c>
      <c r="D230" s="6" t="s">
        <v>61</v>
      </c>
    </row>
    <row r="231" spans="1:4" x14ac:dyDescent="0.3">
      <c r="A231" s="7">
        <v>200</v>
      </c>
      <c r="B231" s="6" t="s">
        <v>299</v>
      </c>
      <c r="C231" s="6" t="s">
        <v>88</v>
      </c>
      <c r="D231" s="6" t="s">
        <v>61</v>
      </c>
    </row>
    <row r="232" spans="1:4" x14ac:dyDescent="0.3">
      <c r="A232" s="7">
        <v>50</v>
      </c>
      <c r="B232" s="6" t="s">
        <v>310</v>
      </c>
      <c r="C232" s="6" t="s">
        <v>119</v>
      </c>
      <c r="D232" s="6" t="s">
        <v>120</v>
      </c>
    </row>
    <row r="233" spans="1:4" x14ac:dyDescent="0.3">
      <c r="A233" s="7">
        <v>50</v>
      </c>
      <c r="B233" s="6" t="s">
        <v>311</v>
      </c>
      <c r="C233" s="6" t="s">
        <v>119</v>
      </c>
      <c r="D233" s="6" t="s">
        <v>120</v>
      </c>
    </row>
    <row r="234" spans="1:4" x14ac:dyDescent="0.3">
      <c r="A234" s="7">
        <v>105</v>
      </c>
      <c r="B234" s="6" t="s">
        <v>312</v>
      </c>
      <c r="C234" s="6" t="s">
        <v>119</v>
      </c>
      <c r="D234" s="6" t="s">
        <v>120</v>
      </c>
    </row>
    <row r="235" spans="1:4" x14ac:dyDescent="0.3">
      <c r="A235" s="7">
        <v>300</v>
      </c>
      <c r="B235" s="6" t="s">
        <v>313</v>
      </c>
      <c r="C235" s="6" t="s">
        <v>88</v>
      </c>
      <c r="D235" s="6" t="s">
        <v>61</v>
      </c>
    </row>
    <row r="236" spans="1:4" x14ac:dyDescent="0.3">
      <c r="A236" s="13">
        <v>500</v>
      </c>
      <c r="B236" s="6" t="s">
        <v>314</v>
      </c>
      <c r="C236" s="6" t="s">
        <v>114</v>
      </c>
      <c r="D236" s="6" t="s">
        <v>61</v>
      </c>
    </row>
    <row r="237" spans="1:4" x14ac:dyDescent="0.3">
      <c r="A237" s="7">
        <v>2000</v>
      </c>
      <c r="B237" s="6" t="s">
        <v>315</v>
      </c>
      <c r="C237" s="6" t="s">
        <v>128</v>
      </c>
      <c r="D237" s="6" t="s">
        <v>75</v>
      </c>
    </row>
    <row r="238" spans="1:4" x14ac:dyDescent="0.3">
      <c r="A238" s="7">
        <v>25</v>
      </c>
      <c r="B238" s="6" t="s">
        <v>316</v>
      </c>
      <c r="C238" s="6" t="s">
        <v>119</v>
      </c>
      <c r="D238" s="6" t="s">
        <v>120</v>
      </c>
    </row>
    <row r="239" spans="1:4" x14ac:dyDescent="0.3">
      <c r="A239" s="7">
        <v>90</v>
      </c>
      <c r="B239" s="6" t="s">
        <v>317</v>
      </c>
      <c r="C239" s="6" t="s">
        <v>119</v>
      </c>
      <c r="D239" s="6" t="s">
        <v>120</v>
      </c>
    </row>
    <row r="240" spans="1:4" x14ac:dyDescent="0.3">
      <c r="A240" s="7">
        <v>200</v>
      </c>
      <c r="B240" s="6" t="s">
        <v>318</v>
      </c>
      <c r="C240" s="6" t="s">
        <v>119</v>
      </c>
      <c r="D240" s="6" t="s">
        <v>120</v>
      </c>
    </row>
    <row r="241" spans="1:4" x14ac:dyDescent="0.3">
      <c r="A241" s="7">
        <v>60</v>
      </c>
      <c r="B241" s="6" t="s">
        <v>319</v>
      </c>
      <c r="C241" s="6" t="s">
        <v>119</v>
      </c>
      <c r="D241" s="6" t="s">
        <v>120</v>
      </c>
    </row>
    <row r="242" spans="1:4" x14ac:dyDescent="0.3">
      <c r="A242" s="7">
        <v>65</v>
      </c>
      <c r="B242" s="6" t="s">
        <v>320</v>
      </c>
      <c r="C242" s="6" t="s">
        <v>119</v>
      </c>
      <c r="D242" s="6" t="s">
        <v>120</v>
      </c>
    </row>
    <row r="243" spans="1:4" x14ac:dyDescent="0.3">
      <c r="A243" s="7">
        <v>140</v>
      </c>
      <c r="B243" s="6" t="s">
        <v>321</v>
      </c>
      <c r="C243" s="6" t="s">
        <v>119</v>
      </c>
      <c r="D243" s="6" t="s">
        <v>120</v>
      </c>
    </row>
    <row r="244" spans="1:4" x14ac:dyDescent="0.3">
      <c r="A244" s="7">
        <v>200</v>
      </c>
      <c r="B244" s="6" t="s">
        <v>322</v>
      </c>
      <c r="C244" s="6" t="s">
        <v>88</v>
      </c>
      <c r="D244" s="6" t="s">
        <v>61</v>
      </c>
    </row>
    <row r="245" spans="1:4" x14ac:dyDescent="0.3">
      <c r="A245" s="7">
        <v>320</v>
      </c>
      <c r="B245" s="6" t="s">
        <v>323</v>
      </c>
      <c r="C245" s="6" t="s">
        <v>119</v>
      </c>
      <c r="D245" s="6" t="s">
        <v>120</v>
      </c>
    </row>
    <row r="246" spans="1:4" x14ac:dyDescent="0.3">
      <c r="A246" s="7">
        <v>40</v>
      </c>
      <c r="B246" s="6" t="s">
        <v>324</v>
      </c>
      <c r="C246" s="6" t="s">
        <v>124</v>
      </c>
      <c r="D246" s="6" t="s">
        <v>120</v>
      </c>
    </row>
    <row r="247" spans="1:4" x14ac:dyDescent="0.3">
      <c r="A247" s="7">
        <v>300</v>
      </c>
      <c r="B247" s="6" t="s">
        <v>325</v>
      </c>
      <c r="C247" s="6" t="s">
        <v>88</v>
      </c>
      <c r="D247" s="6" t="s">
        <v>61</v>
      </c>
    </row>
    <row r="248" spans="1:4" x14ac:dyDescent="0.3">
      <c r="A248" s="7">
        <v>50</v>
      </c>
      <c r="B248" s="6" t="s">
        <v>326</v>
      </c>
      <c r="C248" s="6" t="s">
        <v>119</v>
      </c>
      <c r="D248" s="6" t="s">
        <v>120</v>
      </c>
    </row>
    <row r="249" spans="1:4" x14ac:dyDescent="0.3">
      <c r="A249" s="7">
        <v>45</v>
      </c>
      <c r="B249" s="6" t="s">
        <v>327</v>
      </c>
      <c r="C249" s="6" t="s">
        <v>119</v>
      </c>
      <c r="D249" s="6" t="s">
        <v>120</v>
      </c>
    </row>
    <row r="250" spans="1:4" x14ac:dyDescent="0.3">
      <c r="A250" s="7">
        <v>140</v>
      </c>
      <c r="B250" s="6" t="s">
        <v>328</v>
      </c>
      <c r="C250" s="6" t="s">
        <v>119</v>
      </c>
      <c r="D250" s="6" t="s">
        <v>120</v>
      </c>
    </row>
    <row r="251" spans="1:4" x14ac:dyDescent="0.3">
      <c r="A251" s="7">
        <v>120</v>
      </c>
      <c r="B251" s="6" t="s">
        <v>329</v>
      </c>
      <c r="C251" s="6" t="s">
        <v>119</v>
      </c>
      <c r="D251" s="6" t="s">
        <v>120</v>
      </c>
    </row>
    <row r="252" spans="1:4" x14ac:dyDescent="0.3">
      <c r="A252" s="7">
        <v>120</v>
      </c>
      <c r="B252" s="6" t="s">
        <v>330</v>
      </c>
      <c r="C252" s="6" t="s">
        <v>119</v>
      </c>
      <c r="D252" s="6" t="s">
        <v>120</v>
      </c>
    </row>
    <row r="253" spans="1:4" x14ac:dyDescent="0.3">
      <c r="A253" s="7">
        <v>240</v>
      </c>
      <c r="B253" s="6" t="s">
        <v>331</v>
      </c>
      <c r="C253" s="6" t="s">
        <v>119</v>
      </c>
      <c r="D253" s="6" t="s">
        <v>120</v>
      </c>
    </row>
    <row r="254" spans="1:4" x14ac:dyDescent="0.3">
      <c r="A254" s="7">
        <v>120</v>
      </c>
      <c r="B254" s="6" t="s">
        <v>332</v>
      </c>
      <c r="C254" s="6" t="s">
        <v>119</v>
      </c>
      <c r="D254" s="6" t="s">
        <v>120</v>
      </c>
    </row>
    <row r="255" spans="1:4" x14ac:dyDescent="0.3">
      <c r="A255" s="7">
        <v>140</v>
      </c>
      <c r="B255" s="6" t="s">
        <v>333</v>
      </c>
      <c r="C255" s="6" t="s">
        <v>119</v>
      </c>
      <c r="D255" s="6" t="s">
        <v>120</v>
      </c>
    </row>
    <row r="256" spans="1:4" x14ac:dyDescent="0.3">
      <c r="A256" s="7">
        <v>70</v>
      </c>
      <c r="B256" s="6" t="s">
        <v>334</v>
      </c>
      <c r="C256" s="6" t="s">
        <v>119</v>
      </c>
      <c r="D256" s="6" t="s">
        <v>120</v>
      </c>
    </row>
    <row r="257" spans="1:4" x14ac:dyDescent="0.3">
      <c r="A257" s="7">
        <v>250</v>
      </c>
      <c r="B257" s="6" t="s">
        <v>335</v>
      </c>
      <c r="C257" s="6" t="s">
        <v>88</v>
      </c>
      <c r="D257" s="6" t="s">
        <v>61</v>
      </c>
    </row>
    <row r="258" spans="1:4" x14ac:dyDescent="0.3">
      <c r="A258" s="7">
        <v>45</v>
      </c>
      <c r="B258" s="6" t="s">
        <v>336</v>
      </c>
      <c r="C258" s="6" t="s">
        <v>119</v>
      </c>
      <c r="D258" s="6" t="s">
        <v>120</v>
      </c>
    </row>
    <row r="259" spans="1:4" x14ac:dyDescent="0.3">
      <c r="A259" s="7">
        <v>55</v>
      </c>
      <c r="B259" s="6" t="s">
        <v>337</v>
      </c>
      <c r="C259" s="6" t="s">
        <v>119</v>
      </c>
      <c r="D259" s="6" t="s">
        <v>120</v>
      </c>
    </row>
    <row r="260" spans="1:4" x14ac:dyDescent="0.3">
      <c r="A260" s="7">
        <v>120</v>
      </c>
      <c r="B260" s="6" t="s">
        <v>338</v>
      </c>
      <c r="C260" s="6" t="s">
        <v>119</v>
      </c>
      <c r="D260" s="6" t="s">
        <v>120</v>
      </c>
    </row>
    <row r="261" spans="1:4" x14ac:dyDescent="0.3">
      <c r="A261" s="7">
        <v>250</v>
      </c>
      <c r="B261" s="6" t="s">
        <v>299</v>
      </c>
      <c r="C261" s="6" t="s">
        <v>88</v>
      </c>
      <c r="D261" s="6" t="s">
        <v>61</v>
      </c>
    </row>
    <row r="262" spans="1:4" x14ac:dyDescent="0.3">
      <c r="A262" s="7">
        <v>270</v>
      </c>
      <c r="B262" s="6" t="s">
        <v>339</v>
      </c>
      <c r="C262" s="6" t="s">
        <v>119</v>
      </c>
      <c r="D262" s="6" t="s">
        <v>120</v>
      </c>
    </row>
    <row r="263" spans="1:4" x14ac:dyDescent="0.3">
      <c r="A263" s="7">
        <v>230</v>
      </c>
      <c r="B263" s="6" t="s">
        <v>340</v>
      </c>
      <c r="C263" s="6" t="s">
        <v>119</v>
      </c>
      <c r="D263" s="6" t="s">
        <v>120</v>
      </c>
    </row>
    <row r="264" spans="1:4" x14ac:dyDescent="0.3">
      <c r="A264" s="7">
        <v>140</v>
      </c>
      <c r="B264" s="6" t="s">
        <v>341</v>
      </c>
      <c r="C264" s="6" t="s">
        <v>114</v>
      </c>
      <c r="D264" s="6" t="s">
        <v>61</v>
      </c>
    </row>
    <row r="265" spans="1:4" x14ac:dyDescent="0.3">
      <c r="A265" s="7">
        <v>40</v>
      </c>
      <c r="B265" s="6" t="s">
        <v>342</v>
      </c>
      <c r="C265" s="6" t="s">
        <v>119</v>
      </c>
      <c r="D265" s="6" t="s">
        <v>120</v>
      </c>
    </row>
    <row r="266" spans="1:4" x14ac:dyDescent="0.3">
      <c r="A266" s="7">
        <v>200</v>
      </c>
      <c r="B266" s="6" t="s">
        <v>343</v>
      </c>
      <c r="C266" s="6" t="s">
        <v>88</v>
      </c>
      <c r="D266" s="6" t="s">
        <v>61</v>
      </c>
    </row>
    <row r="267" spans="1:4" x14ac:dyDescent="0.3">
      <c r="A267" s="7">
        <v>50</v>
      </c>
      <c r="B267" s="6" t="s">
        <v>344</v>
      </c>
      <c r="C267" s="6" t="s">
        <v>119</v>
      </c>
      <c r="D267" s="6" t="s">
        <v>120</v>
      </c>
    </row>
    <row r="268" spans="1:4" x14ac:dyDescent="0.3">
      <c r="A268" s="7">
        <v>50</v>
      </c>
      <c r="B268" s="6" t="s">
        <v>345</v>
      </c>
      <c r="C268" s="6" t="s">
        <v>119</v>
      </c>
      <c r="D268" s="6" t="s">
        <v>120</v>
      </c>
    </row>
    <row r="269" spans="1:4" x14ac:dyDescent="0.3">
      <c r="A269" s="7">
        <v>65</v>
      </c>
      <c r="B269" s="6" t="s">
        <v>346</v>
      </c>
      <c r="C269" s="6" t="s">
        <v>119</v>
      </c>
      <c r="D269" s="6" t="s">
        <v>120</v>
      </c>
    </row>
    <row r="270" spans="1:4" x14ac:dyDescent="0.3">
      <c r="A270" s="7">
        <v>45</v>
      </c>
      <c r="B270" s="6" t="s">
        <v>347</v>
      </c>
      <c r="C270" s="6" t="s">
        <v>119</v>
      </c>
      <c r="D270" s="6" t="s">
        <v>120</v>
      </c>
    </row>
    <row r="271" spans="1:4" x14ac:dyDescent="0.3">
      <c r="A271" s="7">
        <v>45</v>
      </c>
      <c r="B271" s="6" t="s">
        <v>348</v>
      </c>
      <c r="C271" s="6" t="s">
        <v>119</v>
      </c>
      <c r="D271" s="6" t="s">
        <v>120</v>
      </c>
    </row>
    <row r="272" spans="1:4" x14ac:dyDescent="0.3">
      <c r="A272" s="7">
        <v>40</v>
      </c>
      <c r="B272" s="6" t="s">
        <v>349</v>
      </c>
      <c r="C272" s="6" t="s">
        <v>119</v>
      </c>
      <c r="D272" s="6" t="s">
        <v>120</v>
      </c>
    </row>
    <row r="273" spans="1:4" x14ac:dyDescent="0.3">
      <c r="A273" s="7">
        <v>1000</v>
      </c>
      <c r="B273" s="6" t="s">
        <v>350</v>
      </c>
      <c r="C273" s="6" t="s">
        <v>88</v>
      </c>
      <c r="D273" s="6" t="s">
        <v>61</v>
      </c>
    </row>
    <row r="274" spans="1:4" x14ac:dyDescent="0.3">
      <c r="A274" s="7">
        <v>55</v>
      </c>
      <c r="B274" s="6" t="s">
        <v>351</v>
      </c>
      <c r="C274" s="6" t="s">
        <v>119</v>
      </c>
      <c r="D274" s="6" t="s">
        <v>120</v>
      </c>
    </row>
    <row r="275" spans="1:4" x14ac:dyDescent="0.3">
      <c r="A275" s="7">
        <v>75</v>
      </c>
      <c r="B275" s="6" t="s">
        <v>352</v>
      </c>
      <c r="C275" s="6" t="s">
        <v>119</v>
      </c>
      <c r="D275" s="6" t="s">
        <v>120</v>
      </c>
    </row>
    <row r="276" spans="1:4" x14ac:dyDescent="0.3">
      <c r="A276" s="7">
        <v>295</v>
      </c>
      <c r="B276" s="6" t="s">
        <v>353</v>
      </c>
      <c r="C276" s="6" t="s">
        <v>119</v>
      </c>
      <c r="D276" s="6" t="s">
        <v>120</v>
      </c>
    </row>
    <row r="277" spans="1:4" x14ac:dyDescent="0.3">
      <c r="A277" s="7">
        <v>45</v>
      </c>
      <c r="B277" s="6" t="s">
        <v>354</v>
      </c>
      <c r="C277" s="6" t="s">
        <v>119</v>
      </c>
      <c r="D277" s="6" t="s">
        <v>120</v>
      </c>
    </row>
    <row r="278" spans="1:4" x14ac:dyDescent="0.3">
      <c r="A278" s="7">
        <v>150</v>
      </c>
      <c r="B278" s="6" t="s">
        <v>355</v>
      </c>
      <c r="C278" s="6" t="s">
        <v>119</v>
      </c>
      <c r="D278" s="6" t="s">
        <v>120</v>
      </c>
    </row>
    <row r="279" spans="1:4" x14ac:dyDescent="0.3">
      <c r="A279" s="7">
        <v>150</v>
      </c>
      <c r="B279" s="6" t="s">
        <v>356</v>
      </c>
      <c r="C279" s="6" t="s">
        <v>119</v>
      </c>
      <c r="D279" s="6" t="s">
        <v>120</v>
      </c>
    </row>
    <row r="280" spans="1:4" x14ac:dyDescent="0.3">
      <c r="A280" s="7">
        <v>140</v>
      </c>
      <c r="B280" s="6" t="s">
        <v>357</v>
      </c>
      <c r="C280" s="6" t="s">
        <v>119</v>
      </c>
      <c r="D280" s="6" t="s">
        <v>120</v>
      </c>
    </row>
    <row r="281" spans="1:4" x14ac:dyDescent="0.3">
      <c r="A281" s="7">
        <v>140</v>
      </c>
      <c r="B281" s="6" t="s">
        <v>358</v>
      </c>
      <c r="C281" s="6" t="s">
        <v>119</v>
      </c>
      <c r="D281" s="6" t="s">
        <v>120</v>
      </c>
    </row>
    <row r="282" spans="1:4" x14ac:dyDescent="0.3">
      <c r="A282" s="7">
        <v>140</v>
      </c>
      <c r="B282" s="6" t="s">
        <v>359</v>
      </c>
      <c r="C282" s="6" t="s">
        <v>119</v>
      </c>
      <c r="D282" s="6" t="s">
        <v>120</v>
      </c>
    </row>
    <row r="283" spans="1:4" x14ac:dyDescent="0.3">
      <c r="A283" s="7">
        <v>360</v>
      </c>
      <c r="B283" s="6" t="s">
        <v>325</v>
      </c>
      <c r="C283" s="6" t="s">
        <v>88</v>
      </c>
      <c r="D283" s="6" t="s">
        <v>61</v>
      </c>
    </row>
    <row r="284" spans="1:4" x14ac:dyDescent="0.3">
      <c r="A284" s="7">
        <v>50</v>
      </c>
      <c r="B284" s="6" t="s">
        <v>360</v>
      </c>
      <c r="C284" s="6" t="s">
        <v>88</v>
      </c>
      <c r="D284" s="6" t="s">
        <v>61</v>
      </c>
    </row>
    <row r="285" spans="1:4" x14ac:dyDescent="0.3">
      <c r="A285" s="7">
        <v>2000</v>
      </c>
      <c r="B285" s="6" t="s">
        <v>315</v>
      </c>
      <c r="C285" s="6" t="s">
        <v>128</v>
      </c>
      <c r="D285" s="6" t="s">
        <v>75</v>
      </c>
    </row>
    <row r="286" spans="1:4" x14ac:dyDescent="0.3">
      <c r="A286" s="7">
        <v>300</v>
      </c>
      <c r="B286" s="6" t="s">
        <v>361</v>
      </c>
      <c r="C286" s="6" t="s">
        <v>176</v>
      </c>
      <c r="D286" s="6" t="s">
        <v>72</v>
      </c>
    </row>
    <row r="287" spans="1:4" x14ac:dyDescent="0.3">
      <c r="A287" s="7">
        <v>50</v>
      </c>
      <c r="B287" s="6" t="s">
        <v>362</v>
      </c>
      <c r="C287" s="6" t="s">
        <v>363</v>
      </c>
      <c r="D287" s="6" t="s">
        <v>120</v>
      </c>
    </row>
    <row r="288" spans="1:4" x14ac:dyDescent="0.3">
      <c r="A288" s="7">
        <v>200</v>
      </c>
      <c r="B288" s="6" t="s">
        <v>364</v>
      </c>
      <c r="C288" s="6" t="s">
        <v>88</v>
      </c>
      <c r="D288" s="6" t="s">
        <v>61</v>
      </c>
    </row>
    <row r="289" spans="1:4" x14ac:dyDescent="0.3">
      <c r="A289" s="7">
        <v>365</v>
      </c>
      <c r="B289" s="6" t="s">
        <v>365</v>
      </c>
      <c r="C289" s="6" t="s">
        <v>176</v>
      </c>
      <c r="D289" s="6" t="s">
        <v>72</v>
      </c>
    </row>
    <row r="290" spans="1:4" x14ac:dyDescent="0.3">
      <c r="A290" s="7">
        <v>250</v>
      </c>
      <c r="B290" s="6" t="s">
        <v>366</v>
      </c>
      <c r="C290" s="6" t="s">
        <v>88</v>
      </c>
      <c r="D290" s="6" t="s">
        <v>61</v>
      </c>
    </row>
    <row r="291" spans="1:4" x14ac:dyDescent="0.3">
      <c r="A291" s="7">
        <v>50</v>
      </c>
      <c r="B291" s="6" t="s">
        <v>367</v>
      </c>
      <c r="C291" s="6" t="s">
        <v>119</v>
      </c>
      <c r="D291" s="6" t="s">
        <v>120</v>
      </c>
    </row>
    <row r="292" spans="1:4" x14ac:dyDescent="0.3">
      <c r="A292" s="7">
        <v>150</v>
      </c>
      <c r="B292" s="6" t="s">
        <v>368</v>
      </c>
      <c r="C292" s="6" t="s">
        <v>119</v>
      </c>
      <c r="D292" s="6" t="s">
        <v>120</v>
      </c>
    </row>
    <row r="293" spans="1:4" x14ac:dyDescent="0.3">
      <c r="A293" s="7">
        <v>130</v>
      </c>
      <c r="B293" s="6" t="s">
        <v>369</v>
      </c>
      <c r="C293" s="6" t="s">
        <v>119</v>
      </c>
      <c r="D293" s="6" t="s">
        <v>120</v>
      </c>
    </row>
    <row r="294" spans="1:4" x14ac:dyDescent="0.3">
      <c r="A294" s="7">
        <v>210</v>
      </c>
      <c r="B294" s="6" t="s">
        <v>370</v>
      </c>
      <c r="C294" s="6" t="s">
        <v>119</v>
      </c>
      <c r="D294" s="6" t="s">
        <v>120</v>
      </c>
    </row>
    <row r="295" spans="1:4" x14ac:dyDescent="0.3">
      <c r="A295" s="13">
        <v>100</v>
      </c>
      <c r="B295" s="6" t="s">
        <v>371</v>
      </c>
      <c r="C295" s="6" t="s">
        <v>108</v>
      </c>
      <c r="D295" s="6" t="s">
        <v>75</v>
      </c>
    </row>
    <row r="296" spans="1:4" x14ac:dyDescent="0.3">
      <c r="A296" s="7">
        <v>250</v>
      </c>
      <c r="B296" s="6" t="s">
        <v>372</v>
      </c>
      <c r="C296" s="6" t="s">
        <v>88</v>
      </c>
      <c r="D296" s="6" t="s">
        <v>61</v>
      </c>
    </row>
    <row r="297" spans="1:4" x14ac:dyDescent="0.3">
      <c r="A297" s="7">
        <v>600</v>
      </c>
      <c r="B297" s="6" t="s">
        <v>373</v>
      </c>
      <c r="C297" s="6" t="s">
        <v>176</v>
      </c>
      <c r="D297" s="6" t="s">
        <v>72</v>
      </c>
    </row>
    <row r="298" spans="1:4" x14ac:dyDescent="0.3">
      <c r="A298" s="7">
        <v>5400</v>
      </c>
      <c r="B298" s="6" t="s">
        <v>374</v>
      </c>
      <c r="C298" s="6" t="s">
        <v>375</v>
      </c>
      <c r="D298" s="6" t="s">
        <v>72</v>
      </c>
    </row>
    <row r="299" spans="1:4" x14ac:dyDescent="0.3">
      <c r="A299" s="7">
        <v>65</v>
      </c>
      <c r="B299" s="6" t="s">
        <v>376</v>
      </c>
      <c r="C299" s="6" t="s">
        <v>119</v>
      </c>
      <c r="D299" s="6" t="s">
        <v>120</v>
      </c>
    </row>
    <row r="300" spans="1:4" x14ac:dyDescent="0.3">
      <c r="A300" s="7">
        <v>70</v>
      </c>
      <c r="B300" s="6" t="s">
        <v>377</v>
      </c>
      <c r="C300" s="6" t="s">
        <v>119</v>
      </c>
      <c r="D300" s="6" t="s">
        <v>120</v>
      </c>
    </row>
    <row r="301" spans="1:4" x14ac:dyDescent="0.3">
      <c r="A301" s="7">
        <v>80</v>
      </c>
      <c r="B301" s="6" t="s">
        <v>378</v>
      </c>
      <c r="C301" s="6" t="s">
        <v>119</v>
      </c>
      <c r="D301" s="6" t="s">
        <v>120</v>
      </c>
    </row>
    <row r="302" spans="1:4" x14ac:dyDescent="0.3">
      <c r="A302" s="7">
        <v>140</v>
      </c>
      <c r="B302" s="6" t="s">
        <v>379</v>
      </c>
      <c r="C302" s="6" t="s">
        <v>119</v>
      </c>
      <c r="D302" s="6" t="s">
        <v>120</v>
      </c>
    </row>
    <row r="303" spans="1:4" x14ac:dyDescent="0.3">
      <c r="A303" s="7">
        <v>30</v>
      </c>
      <c r="B303" s="6" t="s">
        <v>380</v>
      </c>
      <c r="C303" s="6" t="s">
        <v>119</v>
      </c>
      <c r="D303" s="6" t="s">
        <v>120</v>
      </c>
    </row>
    <row r="304" spans="1:4" x14ac:dyDescent="0.3">
      <c r="A304" s="7">
        <v>1370</v>
      </c>
      <c r="B304" s="6" t="s">
        <v>381</v>
      </c>
      <c r="C304" s="6" t="s">
        <v>382</v>
      </c>
      <c r="D304" s="6" t="s">
        <v>72</v>
      </c>
    </row>
    <row r="305" spans="1:4" x14ac:dyDescent="0.3">
      <c r="A305" s="7">
        <v>300</v>
      </c>
      <c r="B305" s="6" t="s">
        <v>383</v>
      </c>
      <c r="C305" s="6" t="s">
        <v>88</v>
      </c>
      <c r="D305" s="6" t="s">
        <v>61</v>
      </c>
    </row>
    <row r="306" spans="1:4" x14ac:dyDescent="0.3">
      <c r="A306" s="7">
        <v>200</v>
      </c>
      <c r="B306" s="6" t="s">
        <v>384</v>
      </c>
      <c r="C306" s="6" t="s">
        <v>119</v>
      </c>
      <c r="D306" s="6" t="s">
        <v>120</v>
      </c>
    </row>
    <row r="307" spans="1:4" x14ac:dyDescent="0.3">
      <c r="A307" s="7">
        <v>45</v>
      </c>
      <c r="B307" s="6" t="s">
        <v>385</v>
      </c>
      <c r="C307" s="6" t="s">
        <v>386</v>
      </c>
      <c r="D307" s="6" t="s">
        <v>61</v>
      </c>
    </row>
    <row r="308" spans="1:4" x14ac:dyDescent="0.3">
      <c r="A308" s="7">
        <v>80</v>
      </c>
      <c r="B308" s="6" t="s">
        <v>387</v>
      </c>
      <c r="C308" s="6" t="s">
        <v>119</v>
      </c>
      <c r="D308" s="6" t="s">
        <v>120</v>
      </c>
    </row>
    <row r="309" spans="1:4" x14ac:dyDescent="0.3">
      <c r="A309" s="7">
        <v>50</v>
      </c>
      <c r="B309" s="6" t="s">
        <v>388</v>
      </c>
      <c r="C309" s="6" t="s">
        <v>119</v>
      </c>
      <c r="D309" s="6" t="s">
        <v>120</v>
      </c>
    </row>
    <row r="310" spans="1:4" x14ac:dyDescent="0.3">
      <c r="A310" s="7">
        <v>150</v>
      </c>
      <c r="B310" s="6" t="s">
        <v>389</v>
      </c>
      <c r="C310" s="6" t="s">
        <v>119</v>
      </c>
      <c r="D310" s="6" t="s">
        <v>120</v>
      </c>
    </row>
    <row r="311" spans="1:4" x14ac:dyDescent="0.3">
      <c r="A311" s="7">
        <v>60</v>
      </c>
      <c r="B311" s="6" t="s">
        <v>390</v>
      </c>
      <c r="C311" s="6" t="s">
        <v>119</v>
      </c>
      <c r="D311" s="6" t="s">
        <v>120</v>
      </c>
    </row>
    <row r="312" spans="1:4" x14ac:dyDescent="0.3">
      <c r="A312" s="7">
        <v>50</v>
      </c>
      <c r="B312" s="6" t="s">
        <v>391</v>
      </c>
      <c r="C312" s="6" t="s">
        <v>386</v>
      </c>
      <c r="D312" s="6" t="s">
        <v>61</v>
      </c>
    </row>
    <row r="313" spans="1:4" x14ac:dyDescent="0.3">
      <c r="A313" s="7">
        <v>250</v>
      </c>
      <c r="B313" s="6" t="s">
        <v>392</v>
      </c>
      <c r="C313" s="6" t="s">
        <v>88</v>
      </c>
      <c r="D313" s="6" t="s">
        <v>61</v>
      </c>
    </row>
    <row r="314" spans="1:4" x14ac:dyDescent="0.3">
      <c r="A314" s="7">
        <v>85</v>
      </c>
      <c r="B314" s="6" t="s">
        <v>393</v>
      </c>
      <c r="C314" s="6" t="s">
        <v>386</v>
      </c>
      <c r="D314" s="6" t="s">
        <v>61</v>
      </c>
    </row>
    <row r="315" spans="1:4" x14ac:dyDescent="0.3">
      <c r="A315" s="7">
        <v>160</v>
      </c>
      <c r="B315" s="6" t="s">
        <v>394</v>
      </c>
      <c r="C315" s="6" t="s">
        <v>88</v>
      </c>
      <c r="D315" s="6" t="s">
        <v>61</v>
      </c>
    </row>
    <row r="316" spans="1:4" x14ac:dyDescent="0.3">
      <c r="A316" s="7">
        <v>60</v>
      </c>
      <c r="B316" s="6" t="s">
        <v>395</v>
      </c>
      <c r="C316" s="6" t="s">
        <v>119</v>
      </c>
      <c r="D316" s="6" t="s">
        <v>120</v>
      </c>
    </row>
    <row r="317" spans="1:4" x14ac:dyDescent="0.3">
      <c r="A317" s="7">
        <v>70</v>
      </c>
      <c r="B317" s="6" t="s">
        <v>396</v>
      </c>
      <c r="C317" s="6" t="s">
        <v>119</v>
      </c>
      <c r="D317" s="6" t="s">
        <v>120</v>
      </c>
    </row>
    <row r="318" spans="1:4" x14ac:dyDescent="0.3">
      <c r="A318" s="7">
        <v>15</v>
      </c>
      <c r="B318" s="6" t="s">
        <v>397</v>
      </c>
      <c r="C318" s="6" t="s">
        <v>119</v>
      </c>
      <c r="D318" s="6" t="s">
        <v>120</v>
      </c>
    </row>
    <row r="319" spans="1:4" x14ac:dyDescent="0.3">
      <c r="A319" s="7">
        <v>25</v>
      </c>
      <c r="B319" s="6" t="s">
        <v>398</v>
      </c>
      <c r="C319" s="6" t="s">
        <v>119</v>
      </c>
      <c r="D319" s="6" t="s">
        <v>120</v>
      </c>
    </row>
    <row r="320" spans="1:4" x14ac:dyDescent="0.3">
      <c r="A320" s="7">
        <v>120</v>
      </c>
      <c r="B320" s="6" t="s">
        <v>399</v>
      </c>
      <c r="C320" s="6" t="s">
        <v>119</v>
      </c>
      <c r="D320" s="6" t="s">
        <v>120</v>
      </c>
    </row>
    <row r="321" spans="1:4" x14ac:dyDescent="0.3">
      <c r="A321" s="7">
        <v>140</v>
      </c>
      <c r="B321" s="6" t="s">
        <v>400</v>
      </c>
      <c r="C321" s="6" t="s">
        <v>119</v>
      </c>
      <c r="D321" s="6" t="s">
        <v>120</v>
      </c>
    </row>
    <row r="322" spans="1:4" x14ac:dyDescent="0.3">
      <c r="A322" s="7">
        <v>350</v>
      </c>
      <c r="B322" s="6" t="s">
        <v>325</v>
      </c>
      <c r="C322" s="6" t="s">
        <v>88</v>
      </c>
      <c r="D322" s="6" t="s">
        <v>61</v>
      </c>
    </row>
    <row r="323" spans="1:4" x14ac:dyDescent="0.3">
      <c r="A323" s="7">
        <v>225</v>
      </c>
      <c r="B323" s="6" t="s">
        <v>401</v>
      </c>
      <c r="C323" s="6" t="s">
        <v>94</v>
      </c>
      <c r="D323" s="6" t="s">
        <v>61</v>
      </c>
    </row>
    <row r="324" spans="1:4" x14ac:dyDescent="0.3">
      <c r="A324" s="14">
        <v>5325</v>
      </c>
      <c r="B324" s="6" t="s">
        <v>402</v>
      </c>
      <c r="C324" s="6" t="s">
        <v>403</v>
      </c>
      <c r="D324" s="6" t="s">
        <v>72</v>
      </c>
    </row>
    <row r="325" spans="1:4" x14ac:dyDescent="0.3">
      <c r="A325" s="13">
        <v>100</v>
      </c>
      <c r="B325" s="6" t="s">
        <v>371</v>
      </c>
      <c r="C325" s="6" t="s">
        <v>108</v>
      </c>
      <c r="D325" s="6" t="s">
        <v>75</v>
      </c>
    </row>
    <row r="326" spans="1:4" x14ac:dyDescent="0.3">
      <c r="A326" s="7">
        <v>40</v>
      </c>
      <c r="B326" s="6" t="s">
        <v>404</v>
      </c>
      <c r="C326" s="6" t="s">
        <v>119</v>
      </c>
      <c r="D326" s="6" t="s">
        <v>120</v>
      </c>
    </row>
    <row r="327" spans="1:4" x14ac:dyDescent="0.3">
      <c r="A327" s="7">
        <v>280</v>
      </c>
      <c r="B327" s="6" t="s">
        <v>405</v>
      </c>
      <c r="C327" s="6" t="s">
        <v>119</v>
      </c>
      <c r="D327" s="6" t="s">
        <v>120</v>
      </c>
    </row>
    <row r="328" spans="1:4" x14ac:dyDescent="0.3">
      <c r="A328" s="7">
        <v>300</v>
      </c>
      <c r="B328" s="6" t="s">
        <v>335</v>
      </c>
      <c r="C328" s="6" t="s">
        <v>88</v>
      </c>
      <c r="D328" s="6" t="s">
        <v>61</v>
      </c>
    </row>
    <row r="329" spans="1:4" x14ac:dyDescent="0.3">
      <c r="A329" s="7">
        <v>250</v>
      </c>
      <c r="B329" s="6" t="s">
        <v>59</v>
      </c>
      <c r="C329" s="6" t="s">
        <v>88</v>
      </c>
      <c r="D329" s="6" t="s">
        <v>61</v>
      </c>
    </row>
    <row r="330" spans="1:4" x14ac:dyDescent="0.3">
      <c r="A330" s="7">
        <v>50</v>
      </c>
      <c r="B330" s="6" t="s">
        <v>59</v>
      </c>
      <c r="C330" s="6" t="s">
        <v>119</v>
      </c>
      <c r="D330" s="6" t="s">
        <v>120</v>
      </c>
    </row>
    <row r="331" spans="1:4" x14ac:dyDescent="0.3">
      <c r="A331" s="7">
        <v>50</v>
      </c>
      <c r="B331" s="6" t="s">
        <v>406</v>
      </c>
      <c r="C331" s="6" t="s">
        <v>119</v>
      </c>
      <c r="D331" s="6" t="s">
        <v>120</v>
      </c>
    </row>
    <row r="332" spans="1:4" x14ac:dyDescent="0.3">
      <c r="A332" s="7">
        <v>300</v>
      </c>
      <c r="B332" s="6" t="s">
        <v>407</v>
      </c>
      <c r="C332" s="6" t="s">
        <v>88</v>
      </c>
      <c r="D332" s="6" t="s">
        <v>61</v>
      </c>
    </row>
    <row r="333" spans="1:4" x14ac:dyDescent="0.3">
      <c r="A333" s="7">
        <v>200</v>
      </c>
      <c r="B333" s="6" t="s">
        <v>408</v>
      </c>
      <c r="C333" s="6" t="s">
        <v>60</v>
      </c>
      <c r="D333" s="6" t="s">
        <v>61</v>
      </c>
    </row>
    <row r="334" spans="1:4" x14ac:dyDescent="0.3">
      <c r="A334" s="7">
        <v>440</v>
      </c>
      <c r="B334" s="6" t="s">
        <v>409</v>
      </c>
      <c r="C334" s="6" t="s">
        <v>253</v>
      </c>
      <c r="D334" s="6" t="s">
        <v>72</v>
      </c>
    </row>
    <row r="335" spans="1:4" x14ac:dyDescent="0.3">
      <c r="A335" s="7">
        <v>55</v>
      </c>
      <c r="B335" s="6" t="s">
        <v>410</v>
      </c>
      <c r="C335" s="6" t="s">
        <v>114</v>
      </c>
      <c r="D335" s="6" t="s">
        <v>61</v>
      </c>
    </row>
    <row r="336" spans="1:4" x14ac:dyDescent="0.3">
      <c r="A336" s="13">
        <v>3000</v>
      </c>
      <c r="B336" s="6" t="s">
        <v>411</v>
      </c>
      <c r="C336" s="6" t="s">
        <v>59</v>
      </c>
      <c r="D336" s="6" t="s">
        <v>138</v>
      </c>
    </row>
    <row r="337" spans="1:5" x14ac:dyDescent="0.3">
      <c r="A337" s="16">
        <v>1260</v>
      </c>
      <c r="B337" s="6" t="s">
        <v>412</v>
      </c>
      <c r="C337" s="6" t="s">
        <v>114</v>
      </c>
      <c r="D337" s="6" t="s">
        <v>61</v>
      </c>
    </row>
    <row r="338" spans="1:5" x14ac:dyDescent="0.3">
      <c r="A338" s="7">
        <v>40</v>
      </c>
      <c r="B338" s="6" t="s">
        <v>413</v>
      </c>
      <c r="C338" s="6" t="s">
        <v>119</v>
      </c>
      <c r="D338" s="6" t="s">
        <v>120</v>
      </c>
    </row>
    <row r="339" spans="1:5" x14ac:dyDescent="0.3">
      <c r="A339" s="7">
        <v>120</v>
      </c>
      <c r="B339" s="6" t="s">
        <v>414</v>
      </c>
      <c r="C339" s="6" t="s">
        <v>88</v>
      </c>
      <c r="D339" s="6" t="s">
        <v>61</v>
      </c>
    </row>
    <row r="340" spans="1:5" x14ac:dyDescent="0.3">
      <c r="A340" s="7">
        <v>25</v>
      </c>
      <c r="B340" s="6" t="s">
        <v>415</v>
      </c>
      <c r="C340" s="6" t="s">
        <v>114</v>
      </c>
      <c r="D340" s="6" t="s">
        <v>61</v>
      </c>
    </row>
    <row r="341" spans="1:5" x14ac:dyDescent="0.3">
      <c r="A341" s="7">
        <v>40</v>
      </c>
      <c r="B341" s="6" t="s">
        <v>416</v>
      </c>
      <c r="C341" s="6" t="s">
        <v>119</v>
      </c>
      <c r="D341" s="6" t="s">
        <v>120</v>
      </c>
    </row>
    <row r="342" spans="1:5" x14ac:dyDescent="0.3">
      <c r="A342" s="7">
        <v>140</v>
      </c>
      <c r="B342" s="6" t="s">
        <v>417</v>
      </c>
      <c r="C342" s="6" t="s">
        <v>119</v>
      </c>
      <c r="D342" s="6" t="s">
        <v>120</v>
      </c>
    </row>
    <row r="343" spans="1:5" x14ac:dyDescent="0.3">
      <c r="A343" s="15">
        <v>200</v>
      </c>
      <c r="B343" s="6" t="s">
        <v>418</v>
      </c>
      <c r="C343" s="6" t="s">
        <v>419</v>
      </c>
      <c r="D343" s="6" t="s">
        <v>120</v>
      </c>
    </row>
    <row r="344" spans="1:5" x14ac:dyDescent="0.3">
      <c r="A344" s="7">
        <v>40</v>
      </c>
      <c r="B344" s="6" t="s">
        <v>420</v>
      </c>
      <c r="C344" s="6" t="s">
        <v>119</v>
      </c>
      <c r="D344" s="6" t="s">
        <v>120</v>
      </c>
    </row>
    <row r="345" spans="1:5" x14ac:dyDescent="0.3">
      <c r="A345" s="7">
        <v>250</v>
      </c>
      <c r="B345" s="6" t="s">
        <v>421</v>
      </c>
      <c r="C345" s="6" t="s">
        <v>88</v>
      </c>
      <c r="D345" s="6" t="s">
        <v>61</v>
      </c>
    </row>
    <row r="346" spans="1:5" x14ac:dyDescent="0.3">
      <c r="A346" s="13">
        <v>350</v>
      </c>
      <c r="B346" s="6" t="s">
        <v>422</v>
      </c>
      <c r="C346" s="6" t="s">
        <v>114</v>
      </c>
      <c r="D346" s="6" t="s">
        <v>61</v>
      </c>
    </row>
    <row r="347" spans="1:5" x14ac:dyDescent="0.3">
      <c r="A347" s="7">
        <v>120</v>
      </c>
      <c r="B347" s="6" t="s">
        <v>423</v>
      </c>
      <c r="C347" s="6" t="s">
        <v>88</v>
      </c>
      <c r="D347" s="6" t="s">
        <v>61</v>
      </c>
    </row>
    <row r="348" spans="1:5" x14ac:dyDescent="0.3">
      <c r="A348" s="7"/>
      <c r="B348" s="6" t="s">
        <v>424</v>
      </c>
      <c r="C348" s="6" t="s">
        <v>88</v>
      </c>
      <c r="D348" s="6" t="s">
        <v>61</v>
      </c>
      <c r="E348" s="37" t="s">
        <v>543</v>
      </c>
    </row>
    <row r="349" spans="1:5" x14ac:dyDescent="0.3">
      <c r="A349" s="19"/>
      <c r="B349" s="19"/>
    </row>
    <row r="350" spans="1:5" x14ac:dyDescent="0.3">
      <c r="A350" s="25">
        <f>SUM(A2:A349)</f>
        <v>144457.5</v>
      </c>
      <c r="B350" s="51" t="s">
        <v>512</v>
      </c>
    </row>
    <row r="351" spans="1:5" x14ac:dyDescent="0.3">
      <c r="A351" s="26">
        <f>SUM(A85,A83)</f>
        <v>1253</v>
      </c>
      <c r="B351" s="27" t="s">
        <v>515</v>
      </c>
    </row>
    <row r="352" spans="1:5" x14ac:dyDescent="0.3">
      <c r="A352" s="28">
        <f>SUM(A343,A236,A224)</f>
        <v>2100</v>
      </c>
      <c r="B352" s="29" t="s">
        <v>508</v>
      </c>
    </row>
    <row r="353" spans="1:2" x14ac:dyDescent="0.3">
      <c r="A353" s="30">
        <f>SUM(A346,A336,A325,A295,A236,A224,A172,A165,A148,A131,A119,A101,A90,A37)</f>
        <v>28770</v>
      </c>
      <c r="B353" s="31" t="s">
        <v>509</v>
      </c>
    </row>
    <row r="354" spans="1:2" x14ac:dyDescent="0.3">
      <c r="A354" s="32">
        <f>SUM(A337)</f>
        <v>1260</v>
      </c>
      <c r="B354" s="33" t="s">
        <v>510</v>
      </c>
    </row>
    <row r="355" spans="1:2" x14ac:dyDescent="0.3">
      <c r="A355" s="34">
        <f>SUM(A96,A95,A93,A73)</f>
        <v>1000</v>
      </c>
      <c r="B355" s="35" t="s">
        <v>511</v>
      </c>
    </row>
    <row r="356" spans="1:2" x14ac:dyDescent="0.3">
      <c r="A356" s="14">
        <v>5325</v>
      </c>
      <c r="B356" s="36" t="s">
        <v>500</v>
      </c>
    </row>
    <row r="357" spans="1:2" x14ac:dyDescent="0.3">
      <c r="A357" s="25">
        <f ca="1">SUM(A351:A357)</f>
        <v>39708</v>
      </c>
      <c r="B357" s="51" t="s">
        <v>512</v>
      </c>
    </row>
    <row r="358" spans="1:2" x14ac:dyDescent="0.3">
      <c r="B358" s="19"/>
    </row>
    <row r="359" spans="1:2" x14ac:dyDescent="0.3">
      <c r="A359" s="25">
        <f ca="1">SUM(A350-A357)</f>
        <v>104869.5</v>
      </c>
      <c r="B359" s="51" t="s">
        <v>512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4CBDC-915C-4ED6-81B5-6547FCC4B0C9}">
  <dimension ref="A1:D51"/>
  <sheetViews>
    <sheetView topLeftCell="A28" workbookViewId="0">
      <selection activeCell="I50" sqref="I50"/>
    </sheetView>
  </sheetViews>
  <sheetFormatPr defaultRowHeight="14.4" x14ac:dyDescent="0.3"/>
  <cols>
    <col min="1" max="1" width="41" bestFit="1" customWidth="1"/>
    <col min="2" max="2" width="9" bestFit="1" customWidth="1"/>
    <col min="3" max="3" width="29.109375" bestFit="1" customWidth="1"/>
    <col min="4" max="4" width="15.5546875" bestFit="1" customWidth="1"/>
  </cols>
  <sheetData>
    <row r="1" spans="1:4" x14ac:dyDescent="0.3">
      <c r="A1" s="8" t="s">
        <v>434</v>
      </c>
      <c r="B1" s="8" t="s">
        <v>435</v>
      </c>
    </row>
    <row r="2" spans="1:4" x14ac:dyDescent="0.3">
      <c r="A2" s="9" t="s">
        <v>436</v>
      </c>
      <c r="B2" s="10">
        <v>3710</v>
      </c>
      <c r="C2" s="9" t="s">
        <v>437</v>
      </c>
      <c r="D2" s="10">
        <v>10000</v>
      </c>
    </row>
    <row r="3" spans="1:4" x14ac:dyDescent="0.3">
      <c r="A3" s="9" t="s">
        <v>438</v>
      </c>
      <c r="B3" s="10">
        <v>410</v>
      </c>
      <c r="C3" s="9" t="s">
        <v>439</v>
      </c>
      <c r="D3" s="10">
        <v>35000</v>
      </c>
    </row>
    <row r="4" spans="1:4" x14ac:dyDescent="0.3">
      <c r="A4" s="9" t="s">
        <v>440</v>
      </c>
      <c r="B4" s="10">
        <v>6950</v>
      </c>
      <c r="C4" s="9" t="s">
        <v>439</v>
      </c>
      <c r="D4" s="10">
        <v>6000</v>
      </c>
    </row>
    <row r="5" spans="1:4" x14ac:dyDescent="0.3">
      <c r="A5" s="9" t="s">
        <v>441</v>
      </c>
      <c r="B5" s="10">
        <v>20</v>
      </c>
      <c r="C5" s="9" t="s">
        <v>442</v>
      </c>
      <c r="D5" s="10">
        <v>20000</v>
      </c>
    </row>
    <row r="6" spans="1:4" x14ac:dyDescent="0.3">
      <c r="A6" s="9" t="s">
        <v>443</v>
      </c>
      <c r="B6" s="10">
        <v>14160</v>
      </c>
      <c r="C6" s="9" t="s">
        <v>444</v>
      </c>
      <c r="D6" s="10">
        <v>17000</v>
      </c>
    </row>
    <row r="7" spans="1:4" x14ac:dyDescent="0.3">
      <c r="A7" s="9" t="s">
        <v>445</v>
      </c>
      <c r="B7" s="10">
        <v>2000</v>
      </c>
      <c r="C7" s="9" t="s">
        <v>444</v>
      </c>
      <c r="D7" s="10">
        <v>40000</v>
      </c>
    </row>
    <row r="8" spans="1:4" x14ac:dyDescent="0.3">
      <c r="A8" s="9" t="s">
        <v>446</v>
      </c>
      <c r="B8" s="10">
        <v>6900</v>
      </c>
      <c r="C8" s="9" t="s">
        <v>447</v>
      </c>
      <c r="D8" s="10">
        <v>20000</v>
      </c>
    </row>
    <row r="9" spans="1:4" x14ac:dyDescent="0.3">
      <c r="A9" s="9" t="s">
        <v>448</v>
      </c>
      <c r="B9" s="10">
        <v>5970</v>
      </c>
      <c r="C9" s="9" t="s">
        <v>449</v>
      </c>
      <c r="D9" s="10">
        <v>10000</v>
      </c>
    </row>
    <row r="10" spans="1:4" x14ac:dyDescent="0.3">
      <c r="A10" s="9" t="s">
        <v>450</v>
      </c>
      <c r="B10" s="10">
        <v>1895</v>
      </c>
      <c r="C10" s="9" t="s">
        <v>451</v>
      </c>
      <c r="D10" s="10">
        <v>10000</v>
      </c>
    </row>
    <row r="11" spans="1:4" x14ac:dyDescent="0.3">
      <c r="A11" s="9" t="s">
        <v>452</v>
      </c>
      <c r="B11" s="10">
        <v>3685</v>
      </c>
      <c r="C11" s="9" t="s">
        <v>453</v>
      </c>
      <c r="D11" s="10">
        <v>12600</v>
      </c>
    </row>
    <row r="12" spans="1:4" x14ac:dyDescent="0.3">
      <c r="A12" s="9" t="s">
        <v>454</v>
      </c>
      <c r="B12" s="10">
        <v>12270</v>
      </c>
      <c r="C12" s="9" t="s">
        <v>455</v>
      </c>
      <c r="D12" s="10">
        <v>40000</v>
      </c>
    </row>
    <row r="13" spans="1:4" x14ac:dyDescent="0.3">
      <c r="A13" s="9" t="s">
        <v>456</v>
      </c>
      <c r="B13" s="10">
        <v>5875</v>
      </c>
      <c r="C13" s="9" t="s">
        <v>457</v>
      </c>
      <c r="D13" s="10">
        <v>30000</v>
      </c>
    </row>
    <row r="14" spans="1:4" x14ac:dyDescent="0.3">
      <c r="A14" s="9" t="s">
        <v>458</v>
      </c>
      <c r="B14" s="10">
        <v>4100</v>
      </c>
      <c r="C14" s="9" t="s">
        <v>459</v>
      </c>
      <c r="D14" s="10">
        <v>20000</v>
      </c>
    </row>
    <row r="15" spans="1:4" x14ac:dyDescent="0.3">
      <c r="A15" s="9" t="s">
        <v>460</v>
      </c>
      <c r="B15" s="10">
        <v>27685</v>
      </c>
      <c r="C15" s="9" t="s">
        <v>461</v>
      </c>
      <c r="D15" s="10">
        <v>4000</v>
      </c>
    </row>
    <row r="16" spans="1:4" x14ac:dyDescent="0.3">
      <c r="A16" s="9" t="s">
        <v>462</v>
      </c>
      <c r="B16" s="10">
        <v>12835</v>
      </c>
      <c r="C16" s="9" t="s">
        <v>463</v>
      </c>
      <c r="D16" s="10">
        <v>20000</v>
      </c>
    </row>
    <row r="17" spans="1:4" x14ac:dyDescent="0.3">
      <c r="A17" s="9" t="s">
        <v>464</v>
      </c>
      <c r="B17" s="10">
        <v>2320</v>
      </c>
      <c r="C17" s="9" t="s">
        <v>463</v>
      </c>
      <c r="D17" s="10">
        <v>14000</v>
      </c>
    </row>
    <row r="18" spans="1:4" x14ac:dyDescent="0.3">
      <c r="A18" s="9" t="s">
        <v>464</v>
      </c>
      <c r="B18" s="10">
        <v>620</v>
      </c>
      <c r="C18" s="9" t="s">
        <v>465</v>
      </c>
      <c r="D18" s="10">
        <v>13500</v>
      </c>
    </row>
    <row r="19" spans="1:4" x14ac:dyDescent="0.3">
      <c r="A19" s="9" t="s">
        <v>466</v>
      </c>
      <c r="B19" s="10">
        <v>880</v>
      </c>
      <c r="C19" s="9" t="s">
        <v>467</v>
      </c>
      <c r="D19" s="10">
        <v>14500</v>
      </c>
    </row>
    <row r="20" spans="1:4" x14ac:dyDescent="0.3">
      <c r="A20" s="9" t="s">
        <v>468</v>
      </c>
      <c r="B20" s="10">
        <v>2710</v>
      </c>
      <c r="C20" s="9" t="s">
        <v>469</v>
      </c>
      <c r="D20" s="10">
        <v>16000</v>
      </c>
    </row>
    <row r="21" spans="1:4" x14ac:dyDescent="0.3">
      <c r="A21" s="9" t="s">
        <v>470</v>
      </c>
      <c r="B21" s="10">
        <v>815</v>
      </c>
      <c r="C21" s="9" t="s">
        <v>469</v>
      </c>
      <c r="D21" s="10">
        <v>3748</v>
      </c>
    </row>
    <row r="22" spans="1:4" x14ac:dyDescent="0.3">
      <c r="A22" s="9" t="s">
        <v>471</v>
      </c>
      <c r="B22" s="10">
        <v>12015</v>
      </c>
      <c r="C22" s="9" t="s">
        <v>472</v>
      </c>
      <c r="D22" s="10">
        <v>30000</v>
      </c>
    </row>
    <row r="23" spans="1:4" x14ac:dyDescent="0.3">
      <c r="A23" s="9" t="s">
        <v>473</v>
      </c>
      <c r="B23" s="10">
        <v>5005</v>
      </c>
      <c r="C23" s="9" t="s">
        <v>472</v>
      </c>
      <c r="D23" s="10">
        <v>8850</v>
      </c>
    </row>
    <row r="24" spans="1:4" x14ac:dyDescent="0.3">
      <c r="A24" s="9" t="s">
        <v>473</v>
      </c>
      <c r="B24" s="10">
        <v>15670</v>
      </c>
      <c r="C24" s="9" t="s">
        <v>472</v>
      </c>
      <c r="D24" s="10">
        <v>24000</v>
      </c>
    </row>
    <row r="25" spans="1:4" x14ac:dyDescent="0.3">
      <c r="A25" s="9" t="s">
        <v>474</v>
      </c>
      <c r="B25" s="10">
        <v>930</v>
      </c>
      <c r="C25" s="9" t="s">
        <v>475</v>
      </c>
      <c r="D25" s="10">
        <v>6300</v>
      </c>
    </row>
    <row r="26" spans="1:4" x14ac:dyDescent="0.3">
      <c r="A26" s="9" t="s">
        <v>474</v>
      </c>
      <c r="B26" s="10">
        <v>9245</v>
      </c>
      <c r="C26" s="9" t="s">
        <v>472</v>
      </c>
      <c r="D26" s="10">
        <v>13790</v>
      </c>
    </row>
    <row r="27" spans="1:4" x14ac:dyDescent="0.3">
      <c r="A27" s="9" t="s">
        <v>476</v>
      </c>
      <c r="B27" s="10">
        <v>5635</v>
      </c>
      <c r="C27" s="9" t="s">
        <v>472</v>
      </c>
      <c r="D27" s="10">
        <v>25000</v>
      </c>
    </row>
    <row r="28" spans="1:4" x14ac:dyDescent="0.3">
      <c r="A28" s="9" t="s">
        <v>477</v>
      </c>
      <c r="B28" s="10">
        <v>450</v>
      </c>
      <c r="C28" s="9" t="s">
        <v>472</v>
      </c>
      <c r="D28" s="10">
        <v>39000</v>
      </c>
    </row>
    <row r="29" spans="1:4" x14ac:dyDescent="0.3">
      <c r="A29" s="9" t="s">
        <v>477</v>
      </c>
      <c r="B29" s="10">
        <v>3000</v>
      </c>
      <c r="C29" s="9" t="s">
        <v>478</v>
      </c>
      <c r="D29" s="10">
        <v>10000</v>
      </c>
    </row>
    <row r="30" spans="1:4" x14ac:dyDescent="0.3">
      <c r="A30" s="9" t="s">
        <v>479</v>
      </c>
      <c r="B30" s="10">
        <v>1535</v>
      </c>
      <c r="C30" s="9" t="s">
        <v>472</v>
      </c>
      <c r="D30" s="10">
        <v>53000</v>
      </c>
    </row>
    <row r="31" spans="1:4" x14ac:dyDescent="0.3">
      <c r="A31" s="9" t="s">
        <v>480</v>
      </c>
      <c r="B31" s="10">
        <v>2500</v>
      </c>
      <c r="C31" s="9" t="s">
        <v>472</v>
      </c>
      <c r="D31" s="10">
        <v>23500</v>
      </c>
    </row>
    <row r="32" spans="1:4" x14ac:dyDescent="0.3">
      <c r="A32" s="9" t="s">
        <v>481</v>
      </c>
      <c r="B32" s="10">
        <v>10880</v>
      </c>
      <c r="C32" s="9" t="s">
        <v>472</v>
      </c>
      <c r="D32" s="10">
        <v>50000</v>
      </c>
    </row>
    <row r="33" spans="1:4" x14ac:dyDescent="0.3">
      <c r="A33" s="9" t="s">
        <v>482</v>
      </c>
      <c r="B33" s="10">
        <v>225</v>
      </c>
      <c r="C33" s="9" t="s">
        <v>472</v>
      </c>
      <c r="D33" s="10">
        <v>3000</v>
      </c>
    </row>
    <row r="34" spans="1:4" x14ac:dyDescent="0.3">
      <c r="A34" s="9" t="s">
        <v>483</v>
      </c>
      <c r="B34" s="10">
        <v>100</v>
      </c>
      <c r="C34" s="9" t="s">
        <v>472</v>
      </c>
      <c r="D34" s="10">
        <v>50000</v>
      </c>
    </row>
    <row r="35" spans="1:4" x14ac:dyDescent="0.3">
      <c r="A35" s="9" t="s">
        <v>483</v>
      </c>
      <c r="B35" s="10">
        <v>4115</v>
      </c>
      <c r="C35" s="9" t="s">
        <v>472</v>
      </c>
      <c r="D35" s="10">
        <v>20000</v>
      </c>
    </row>
    <row r="36" spans="1:4" x14ac:dyDescent="0.3">
      <c r="A36" s="9" t="s">
        <v>484</v>
      </c>
      <c r="B36" s="10">
        <v>3500</v>
      </c>
      <c r="C36" s="9" t="s">
        <v>472</v>
      </c>
      <c r="D36" s="10">
        <v>24000</v>
      </c>
    </row>
    <row r="37" spans="1:4" x14ac:dyDescent="0.3">
      <c r="A37" s="9" t="s">
        <v>485</v>
      </c>
      <c r="B37" s="10">
        <v>7080</v>
      </c>
      <c r="C37" s="9" t="s">
        <v>472</v>
      </c>
      <c r="D37" s="10">
        <v>21900</v>
      </c>
    </row>
    <row r="38" spans="1:4" x14ac:dyDescent="0.3">
      <c r="A38" s="9" t="s">
        <v>485</v>
      </c>
      <c r="B38" s="10">
        <v>21400</v>
      </c>
      <c r="C38" s="9" t="s">
        <v>472</v>
      </c>
      <c r="D38" s="10">
        <v>15500</v>
      </c>
    </row>
    <row r="39" spans="1:4" x14ac:dyDescent="0.3">
      <c r="A39" s="9" t="s">
        <v>486</v>
      </c>
      <c r="B39" s="10">
        <v>1130</v>
      </c>
      <c r="C39" s="9" t="s">
        <v>472</v>
      </c>
      <c r="D39" s="10">
        <v>8500</v>
      </c>
    </row>
    <row r="40" spans="1:4" x14ac:dyDescent="0.3">
      <c r="A40" s="9" t="s">
        <v>487</v>
      </c>
      <c r="B40" s="10">
        <v>6580</v>
      </c>
      <c r="C40" s="9" t="s">
        <v>472</v>
      </c>
      <c r="D40" s="10">
        <v>21300</v>
      </c>
    </row>
    <row r="41" spans="1:4" x14ac:dyDescent="0.3">
      <c r="A41" s="9" t="s">
        <v>488</v>
      </c>
      <c r="B41" s="10">
        <v>3500</v>
      </c>
      <c r="C41" s="9" t="s">
        <v>472</v>
      </c>
      <c r="D41" s="10">
        <v>4400</v>
      </c>
    </row>
    <row r="42" spans="1:4" x14ac:dyDescent="0.3">
      <c r="A42" s="9" t="s">
        <v>489</v>
      </c>
      <c r="B42" s="10">
        <v>12025</v>
      </c>
      <c r="C42" s="9" t="s">
        <v>490</v>
      </c>
      <c r="D42" s="10">
        <v>5500</v>
      </c>
    </row>
    <row r="43" spans="1:4" x14ac:dyDescent="0.3">
      <c r="A43" s="9" t="s">
        <v>491</v>
      </c>
      <c r="B43" s="10">
        <v>5400</v>
      </c>
      <c r="C43" s="8" t="s">
        <v>492</v>
      </c>
      <c r="D43" s="11">
        <v>1219318</v>
      </c>
    </row>
    <row r="44" spans="1:4" x14ac:dyDescent="0.3">
      <c r="A44" s="9" t="s">
        <v>491</v>
      </c>
      <c r="B44" s="10">
        <v>200</v>
      </c>
      <c r="C44" s="9" t="s">
        <v>493</v>
      </c>
      <c r="D44" s="10">
        <v>576</v>
      </c>
    </row>
    <row r="45" spans="1:4" x14ac:dyDescent="0.3">
      <c r="A45" s="9" t="s">
        <v>491</v>
      </c>
      <c r="B45" s="10">
        <v>10000</v>
      </c>
      <c r="C45" s="9" t="s">
        <v>494</v>
      </c>
      <c r="D45" s="10">
        <v>42950</v>
      </c>
    </row>
    <row r="46" spans="1:4" x14ac:dyDescent="0.3">
      <c r="A46" s="9" t="s">
        <v>495</v>
      </c>
      <c r="B46" s="10">
        <v>97500</v>
      </c>
      <c r="C46" s="9" t="s">
        <v>496</v>
      </c>
      <c r="D46" s="10">
        <v>20550</v>
      </c>
    </row>
    <row r="47" spans="1:4" x14ac:dyDescent="0.3">
      <c r="A47" s="9" t="s">
        <v>495</v>
      </c>
      <c r="B47" s="10">
        <v>15000</v>
      </c>
      <c r="C47" s="9" t="s">
        <v>497</v>
      </c>
      <c r="D47" s="10">
        <v>14100</v>
      </c>
    </row>
    <row r="48" spans="1:4" x14ac:dyDescent="0.3">
      <c r="A48" s="9" t="s">
        <v>498</v>
      </c>
      <c r="B48" s="10">
        <v>10000</v>
      </c>
      <c r="C48" s="8" t="s">
        <v>492</v>
      </c>
      <c r="D48" s="11">
        <f>SUM(D44:D47)</f>
        <v>78176</v>
      </c>
    </row>
    <row r="49" spans="1:4" ht="17.399999999999999" x14ac:dyDescent="0.3">
      <c r="A49" s="9" t="s">
        <v>437</v>
      </c>
      <c r="B49" s="10">
        <v>25000</v>
      </c>
      <c r="C49" s="8" t="s">
        <v>499</v>
      </c>
      <c r="D49" s="12">
        <f>D48+D43</f>
        <v>1297494</v>
      </c>
    </row>
    <row r="51" spans="1:4" x14ac:dyDescent="0.3">
      <c r="D51" s="6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BA9AC-5363-44C9-A5A9-D666CCEDEA24}">
  <dimension ref="A1:H18"/>
  <sheetViews>
    <sheetView tabSelected="1" zoomScale="85" zoomScaleNormal="85" workbookViewId="0">
      <selection activeCell="B9" sqref="B9"/>
    </sheetView>
  </sheetViews>
  <sheetFormatPr defaultRowHeight="21" x14ac:dyDescent="0.4"/>
  <cols>
    <col min="1" max="1" width="20.21875" style="57" customWidth="1"/>
    <col min="2" max="2" width="18.6640625" style="57" customWidth="1"/>
    <col min="3" max="3" width="15.5546875" style="57" customWidth="1"/>
    <col min="4" max="4" width="36.109375" style="57" customWidth="1"/>
    <col min="5" max="5" width="20.33203125" style="57" customWidth="1"/>
    <col min="6" max="6" width="35.109375" style="78" customWidth="1"/>
    <col min="7" max="7" width="19" style="57" customWidth="1"/>
    <col min="8" max="8" width="29.33203125" style="57" customWidth="1"/>
    <col min="9" max="16384" width="8.88671875" style="57"/>
  </cols>
  <sheetData>
    <row r="1" spans="1:8" ht="23.4" x14ac:dyDescent="0.3">
      <c r="A1" s="70" t="s">
        <v>518</v>
      </c>
      <c r="B1" s="70"/>
      <c r="C1" s="70"/>
      <c r="D1" s="71"/>
      <c r="E1" s="71"/>
      <c r="F1" s="72"/>
      <c r="G1" s="71"/>
      <c r="H1" s="71"/>
    </row>
    <row r="2" spans="1:8" ht="23.4" x14ac:dyDescent="0.3">
      <c r="A2" s="71" t="s">
        <v>519</v>
      </c>
      <c r="B2" s="71">
        <f>[1]الاصول!D25</f>
        <v>32800</v>
      </c>
      <c r="C2" s="71"/>
      <c r="D2" s="71"/>
      <c r="E2" s="73" t="s">
        <v>520</v>
      </c>
      <c r="F2" s="73" t="s">
        <v>521</v>
      </c>
      <c r="G2" s="73" t="s">
        <v>522</v>
      </c>
      <c r="H2" s="73" t="s">
        <v>542</v>
      </c>
    </row>
    <row r="3" spans="1:8" ht="23.4" x14ac:dyDescent="0.3">
      <c r="A3" s="71" t="s">
        <v>523</v>
      </c>
      <c r="B3" s="71">
        <f>2580+270+200</f>
        <v>3050</v>
      </c>
      <c r="C3" s="71">
        <v>2980</v>
      </c>
      <c r="D3" s="71" t="s">
        <v>524</v>
      </c>
      <c r="E3" s="73">
        <v>700</v>
      </c>
      <c r="F3" s="73">
        <v>1810</v>
      </c>
      <c r="G3" s="73">
        <v>270</v>
      </c>
      <c r="H3" s="73">
        <v>200</v>
      </c>
    </row>
    <row r="4" spans="1:8" ht="23.4" x14ac:dyDescent="0.3">
      <c r="A4" s="71" t="s">
        <v>525</v>
      </c>
      <c r="B4" s="71">
        <v>5700</v>
      </c>
      <c r="C4" s="71"/>
      <c r="D4" s="71" t="s">
        <v>526</v>
      </c>
      <c r="E4" s="71"/>
      <c r="F4" s="72"/>
      <c r="G4" s="71"/>
      <c r="H4" s="71"/>
    </row>
    <row r="5" spans="1:8" ht="23.4" x14ac:dyDescent="0.3">
      <c r="A5" s="71" t="s">
        <v>527</v>
      </c>
      <c r="B5" s="74">
        <f>[1]المخزون!D54</f>
        <v>780749.04000000015</v>
      </c>
      <c r="C5" s="74"/>
      <c r="D5" s="71"/>
      <c r="E5" s="71"/>
      <c r="F5" s="72"/>
      <c r="G5" s="71"/>
      <c r="H5" s="71"/>
    </row>
    <row r="6" spans="1:8" ht="23.4" x14ac:dyDescent="0.3">
      <c r="A6" s="71" t="s">
        <v>528</v>
      </c>
      <c r="B6" s="71">
        <v>47426</v>
      </c>
      <c r="C6" s="71"/>
      <c r="D6" s="71" t="s">
        <v>529</v>
      </c>
      <c r="E6" s="71"/>
      <c r="F6" s="72"/>
      <c r="G6" s="71"/>
      <c r="H6" s="71"/>
    </row>
    <row r="7" spans="1:8" ht="23.4" x14ac:dyDescent="0.3">
      <c r="A7" s="71" t="s">
        <v>530</v>
      </c>
      <c r="B7" s="71">
        <f>493+760</f>
        <v>1253</v>
      </c>
      <c r="C7" s="71"/>
      <c r="D7" s="71" t="s">
        <v>539</v>
      </c>
      <c r="E7" s="71"/>
      <c r="F7" s="72"/>
      <c r="G7" s="71"/>
      <c r="H7" s="71"/>
    </row>
    <row r="8" spans="1:8" ht="23.4" x14ac:dyDescent="0.45">
      <c r="A8" s="75"/>
      <c r="B8" s="76">
        <f>SUM(B2:B7)</f>
        <v>870978.04000000015</v>
      </c>
      <c r="C8" s="77"/>
      <c r="D8" s="71"/>
      <c r="E8" s="71"/>
      <c r="F8" s="72"/>
      <c r="G8" s="71"/>
      <c r="H8" s="71"/>
    </row>
    <row r="9" spans="1:8" ht="23.4" x14ac:dyDescent="0.3">
      <c r="A9" s="71"/>
      <c r="B9" s="71"/>
      <c r="C9" s="71"/>
      <c r="D9" s="71"/>
      <c r="E9" s="71"/>
      <c r="F9" s="72"/>
      <c r="G9" s="79">
        <v>6883</v>
      </c>
      <c r="H9" s="79" t="s">
        <v>531</v>
      </c>
    </row>
    <row r="10" spans="1:8" ht="23.4" x14ac:dyDescent="0.3">
      <c r="A10" s="71"/>
      <c r="B10" s="71"/>
      <c r="C10" s="71"/>
      <c r="D10" s="71"/>
      <c r="E10" s="71"/>
      <c r="F10" s="72"/>
      <c r="G10" s="79">
        <v>-504</v>
      </c>
      <c r="H10" s="79" t="s">
        <v>532</v>
      </c>
    </row>
    <row r="11" spans="1:8" ht="23.4" x14ac:dyDescent="0.3">
      <c r="A11" s="71"/>
      <c r="B11" s="71"/>
      <c r="C11" s="71"/>
      <c r="D11" s="71"/>
      <c r="E11" s="71"/>
      <c r="F11" s="72"/>
      <c r="G11" s="79">
        <v>536</v>
      </c>
      <c r="H11" s="79" t="s">
        <v>533</v>
      </c>
    </row>
    <row r="12" spans="1:8" ht="23.4" x14ac:dyDescent="0.3">
      <c r="A12" s="71"/>
      <c r="B12" s="71"/>
      <c r="C12" s="71"/>
      <c r="D12" s="71"/>
      <c r="E12" s="71"/>
      <c r="F12" s="72"/>
      <c r="G12" s="79">
        <v>-236</v>
      </c>
      <c r="H12" s="79" t="s">
        <v>534</v>
      </c>
    </row>
    <row r="13" spans="1:8" ht="23.4" x14ac:dyDescent="0.3">
      <c r="A13" s="71"/>
      <c r="B13" s="71"/>
      <c r="C13" s="71"/>
      <c r="D13" s="71"/>
      <c r="E13" s="71"/>
      <c r="F13" s="72"/>
      <c r="G13" s="80">
        <f>SUM(G9:G12)</f>
        <v>6679</v>
      </c>
      <c r="H13" s="80" t="s">
        <v>499</v>
      </c>
    </row>
    <row r="14" spans="1:8" ht="23.4" x14ac:dyDescent="0.3">
      <c r="A14" s="71"/>
      <c r="B14" s="71"/>
      <c r="C14" s="71"/>
      <c r="D14" s="71"/>
      <c r="E14" s="71"/>
      <c r="F14" s="72"/>
      <c r="G14" s="81"/>
      <c r="H14" s="81"/>
    </row>
    <row r="15" spans="1:8" ht="23.4" x14ac:dyDescent="0.3">
      <c r="A15" s="71"/>
      <c r="B15" s="71"/>
      <c r="C15" s="71"/>
      <c r="D15" s="71"/>
      <c r="E15" s="71"/>
      <c r="F15" s="72"/>
      <c r="G15" s="80">
        <v>6589</v>
      </c>
      <c r="H15" s="80" t="s">
        <v>535</v>
      </c>
    </row>
    <row r="16" spans="1:8" ht="23.4" x14ac:dyDescent="0.3">
      <c r="A16" s="85" t="s">
        <v>546</v>
      </c>
      <c r="B16" s="85"/>
      <c r="C16" s="85"/>
      <c r="D16" s="85"/>
      <c r="E16" s="85"/>
      <c r="F16" s="72" t="s">
        <v>545</v>
      </c>
      <c r="G16" s="82">
        <f>G15-G13</f>
        <v>-90</v>
      </c>
      <c r="H16" s="82" t="s">
        <v>536</v>
      </c>
    </row>
    <row r="17" spans="1:8" ht="23.4" x14ac:dyDescent="0.3">
      <c r="A17" s="71"/>
      <c r="B17" s="71"/>
      <c r="C17" s="71"/>
      <c r="D17" s="71"/>
      <c r="E17" s="71"/>
      <c r="F17" s="72" t="s">
        <v>541</v>
      </c>
      <c r="G17" s="83">
        <v>4050</v>
      </c>
      <c r="H17" s="83" t="s">
        <v>537</v>
      </c>
    </row>
    <row r="18" spans="1:8" ht="23.4" x14ac:dyDescent="0.3">
      <c r="A18" s="85" t="s">
        <v>544</v>
      </c>
      <c r="B18" s="85"/>
      <c r="C18" s="85"/>
      <c r="D18" s="85"/>
      <c r="E18" s="85"/>
      <c r="F18" s="72" t="s">
        <v>540</v>
      </c>
      <c r="G18" s="83">
        <v>270</v>
      </c>
      <c r="H18" s="83" t="s">
        <v>538</v>
      </c>
    </row>
  </sheetData>
  <mergeCells count="3">
    <mergeCell ref="A1:C1"/>
    <mergeCell ref="A18:E18"/>
    <mergeCell ref="A16:E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جرد </vt:lpstr>
      <vt:lpstr>ملاحظات المصروفات </vt:lpstr>
      <vt:lpstr>تحليل المصروفات</vt:lpstr>
      <vt:lpstr>تحصيلات </vt:lpstr>
      <vt:lpstr>الميزانيه</vt:lpstr>
      <vt:lpstr>sum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Hesham sophy Nowar</dc:creator>
  <cp:lastModifiedBy>AMR MADPOLY</cp:lastModifiedBy>
  <dcterms:created xsi:type="dcterms:W3CDTF">2024-04-24T13:58:26Z</dcterms:created>
  <dcterms:modified xsi:type="dcterms:W3CDTF">2024-04-27T17:44:28Z</dcterms:modified>
</cp:coreProperties>
</file>