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0730" windowHeight="11580" activeTab="2"/>
  </bookViews>
  <sheets>
    <sheet name="من شركة الشحن" sheetId="1" r:id="rId1"/>
    <sheet name="اوردر تسليمات" sheetId="4" r:id="rId2"/>
    <sheet name="قطع" sheetId="2" r:id="rId3"/>
    <sheet name="Sheet3" sheetId="3" r:id="rId4"/>
  </sheets>
  <definedNames>
    <definedName name="_xlnm._FilterDatabase" localSheetId="0" hidden="1">'من شركة الشحن'!$A$2:$N$74</definedName>
  </definedNames>
  <calcPr calcId="144525"/>
</workbook>
</file>

<file path=xl/calcChain.xml><?xml version="1.0" encoding="utf-8"?>
<calcChain xmlns="http://schemas.openxmlformats.org/spreadsheetml/2006/main">
  <c r="E4" i="2" l="1"/>
  <c r="G4" i="2" s="1"/>
  <c r="E5" i="2"/>
  <c r="G5" i="2" s="1"/>
  <c r="E6" i="2"/>
  <c r="G6" i="2" s="1"/>
  <c r="E7" i="2"/>
  <c r="G7" i="2" s="1"/>
  <c r="E8" i="2"/>
  <c r="G8" i="2" s="1"/>
  <c r="E3" i="2"/>
  <c r="G3" i="2" s="1"/>
  <c r="B74" i="1"/>
  <c r="B73" i="1"/>
  <c r="B71" i="1"/>
  <c r="B70" i="1"/>
  <c r="B68" i="1"/>
  <c r="B6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6" i="1"/>
  <c r="B5" i="1"/>
  <c r="B4" i="1"/>
  <c r="B3" i="1"/>
  <c r="G9" i="2" l="1"/>
  <c r="E9" i="2"/>
</calcChain>
</file>

<file path=xl/sharedStrings.xml><?xml version="1.0" encoding="utf-8"?>
<sst xmlns="http://schemas.openxmlformats.org/spreadsheetml/2006/main" count="1304" uniqueCount="380">
  <si>
    <t>توريد 9-12-2025</t>
  </si>
  <si>
    <t>رقم بوليصه</t>
  </si>
  <si>
    <t>التاريخ</t>
  </si>
  <si>
    <t>الوزن</t>
  </si>
  <si>
    <t>اسم الراسل</t>
  </si>
  <si>
    <t>المنقطه</t>
  </si>
  <si>
    <t xml:space="preserve">اسم المرسل اليه </t>
  </si>
  <si>
    <t>العنوان</t>
  </si>
  <si>
    <t>المحافظه</t>
  </si>
  <si>
    <t>الاجمالي</t>
  </si>
  <si>
    <t>الشحن</t>
  </si>
  <si>
    <t>الصافى</t>
  </si>
  <si>
    <t>الحالة</t>
  </si>
  <si>
    <t>ملاحظات</t>
  </si>
  <si>
    <t>Now Shoes</t>
  </si>
  <si>
    <t>القاهره</t>
  </si>
  <si>
    <t>باسم محروس عبداللطيف</t>
  </si>
  <si>
    <t>مدينة الشروق  المنطقة السابعه عمارات  المجاورة الثالثه  عمارة رقم ١١  الدور الثالث شقة رقم ١٠</t>
  </si>
  <si>
    <t>القاهرة رمسيس</t>
  </si>
  <si>
    <t>collected</t>
  </si>
  <si>
    <t>تسليم كامل</t>
  </si>
  <si>
    <t>احمد عبد الكريم</t>
  </si>
  <si>
    <t>الجيزه، الشيخ زايد، بالم هيلز، كمبوند جولف اكستنشن فيلا 818</t>
  </si>
  <si>
    <t>القاهرة اكتوبر</t>
  </si>
  <si>
    <t>COLLECTED</t>
  </si>
  <si>
    <t>ابو اسماعيل</t>
  </si>
  <si>
    <t>الجيزه 6اكتوبر الحي السادس شارع الاسعاف</t>
  </si>
  <si>
    <t>احمد حسني</t>
  </si>
  <si>
    <t>مدينة 6اكتوبر الحى السادس مج 7 عمارة 116 محافظة الجيزة</t>
  </si>
  <si>
    <t>LNB00000548</t>
  </si>
  <si>
    <t>محمد عكرش</t>
  </si>
  <si>
    <t>الجيزه الهرم لهرم مدينة كرداسة أمام النادي الرياضي</t>
  </si>
  <si>
    <t>القاهرة الجيزة</t>
  </si>
  <si>
    <t>استرجاع</t>
  </si>
  <si>
    <t>علي الفخراني</t>
  </si>
  <si>
    <t>الجيزه المنوات شارع الشهيد احمد عبد العزيز بجوار مسجد الهدايه</t>
  </si>
  <si>
    <t>ابراهيم رضوان</t>
  </si>
  <si>
    <t>6 شارع بسيوني هلال متفرع من شارع مصطفى عبدالحميد ابو الليل بجوار صفط اللبن</t>
  </si>
  <si>
    <t>حسن صبري احمد</t>
  </si>
  <si>
    <t>مساكن بورسعيد ارض نوبار كريستال عصفور امام مدرسه الامام محمد عبده شبرا الخيمه</t>
  </si>
  <si>
    <t>returned</t>
  </si>
  <si>
    <t>رفض الأستلام ودفع الشحن</t>
  </si>
  <si>
    <t>محمد منصور</t>
  </si>
  <si>
    <t>حلوان 15مايو مجاوره 14</t>
  </si>
  <si>
    <t>خلف عبدالرحمن</t>
  </si>
  <si>
    <t>شبرا الخيمة  منشية عبد المنعم رياض شارع ابو مناع رقم ٣٠</t>
  </si>
  <si>
    <t>اسامه&gt;&lt;</t>
  </si>
  <si>
    <t>ميدان بهتيم شبرا الخيمه أمام كشري الخديوي القليوبيه</t>
  </si>
  <si>
    <t>يوسف محمد</t>
  </si>
  <si>
    <t>محافظه القليوبيه شبرا الخيمه بيجام بجوار جامع السلام</t>
  </si>
  <si>
    <t>ناصر قطب سليمان</t>
  </si>
  <si>
    <t>امبابه شارع المدارس أرض عزيز عزت مكتبه المدارس</t>
  </si>
  <si>
    <t>محمد عبده</t>
  </si>
  <si>
    <t>62 مكرر عثمان بن عفان مدينة الفردوس الاميريه القاهره</t>
  </si>
  <si>
    <t>القاهرة مصر الجديدة</t>
  </si>
  <si>
    <t>محمد اشرف محمد</t>
  </si>
  <si>
    <t>شارع مؤسسة الزكاة قاعة ليلتي</t>
  </si>
  <si>
    <t>دفع الشحن ورفض الاستلام</t>
  </si>
  <si>
    <t>جزء الاول</t>
  </si>
  <si>
    <t>هناء فكري</t>
  </si>
  <si>
    <t>ش السجل المدنى أمام مدرسه امهات المستقبل  المنيا ملوى</t>
  </si>
  <si>
    <t>المنيا</t>
  </si>
  <si>
    <t>محمداكرامي</t>
  </si>
  <si>
    <t>6 اكتوبرالتوسعات الشمالية كمبوند إطلالة عمارة 22 شقة9</t>
  </si>
  <si>
    <t>لغى الاوردر</t>
  </si>
  <si>
    <t>محمد عطيه عبدالسلام</t>
  </si>
  <si>
    <t>91 السياحية الرابعة الدور الرابع شقة 9 اكتوبر بالقرب من وصلة دهشور ومول العرب شارع مدرسة وينشيتر</t>
  </si>
  <si>
    <t>رفض الاستلام</t>
  </si>
  <si>
    <t>سيد محمود محمد&gt;&lt;</t>
  </si>
  <si>
    <t>القاهره برج رقم 4 شارع عبدالله رفاعي من شارع مؤسسة الذكاة المرج</t>
  </si>
  <si>
    <t>الرقم غلط</t>
  </si>
  <si>
    <t>احمد</t>
  </si>
  <si>
    <t>اول عباس العقاد مدينة نصر</t>
  </si>
  <si>
    <t>احمد جمال امام</t>
  </si>
  <si>
    <t>٢٩ شارع الشهيد احمد حمدي مدكور فيصل محطة كلية التربية الرياضية بنين العقار اعلي مستشفي القاهرة الحديثه التخصصي</t>
  </si>
  <si>
    <t>صلاح</t>
  </si>
  <si>
    <t>مسجد موسي اطفيح الجيزة</t>
  </si>
  <si>
    <t>مصطفى محمود</t>
  </si>
  <si>
    <t>قصر سندريلا للأفراح بالمريوطيه هرم  طريق سقاره بعد فندق كتاركت الجيزه</t>
  </si>
  <si>
    <t>خالد أحمد</t>
  </si>
  <si>
    <t>الجيزه، ،العياط، ،كفرتركي</t>
  </si>
  <si>
    <t>سعيد رمود</t>
  </si>
  <si>
    <t>العنوان الجيزة البدرشين أبو رجوان قبلي شارع المشتل كبري الدكمي الحاج سعيد رمود</t>
  </si>
  <si>
    <t>ايمن محمد</t>
  </si>
  <si>
    <t>قرية الصالحيه مركز أطفيح محافظة الجيزة عند مكتب البريد</t>
  </si>
  <si>
    <t>محمدشاكر</t>
  </si>
  <si>
    <t>الجيزة طريق المريوطيه السياحي مركز البدرشين كوبري المثلث</t>
  </si>
  <si>
    <t>بحري</t>
  </si>
  <si>
    <t>محمد فهمي</t>
  </si>
  <si>
    <t>المنصورة شارع كلية الدراسات الإسلامية بجوار شركة الاتصالات</t>
  </si>
  <si>
    <t xml:space="preserve">المنصورة </t>
  </si>
  <si>
    <t>يتهرب من الاستلام</t>
  </si>
  <si>
    <t>بهاء يسري</t>
  </si>
  <si>
    <t>العنوان برطس شارع النادي مركز اوسيم الجيره</t>
  </si>
  <si>
    <t>علاء علي</t>
  </si>
  <si>
    <t>الرحاب عند بنزينه الوطنيه</t>
  </si>
  <si>
    <t>سعد يحيى جاد</t>
  </si>
  <si>
    <t>القليوبيه شبر الخيمه بهتيم القطاوى ش 25</t>
  </si>
  <si>
    <t>سعد صموئيل</t>
  </si>
  <si>
    <t>9ش محمد رمضان من ش الاقصر امبابه الجيزه الدور الثالث أمام مطعم مجدي وبعد كازيون ناصيه تساهيل</t>
  </si>
  <si>
    <t>عبدالعال محمد عبدالعال</t>
  </si>
  <si>
    <t>بجوار مستشفي الخليج بشارع الخليج المصري  شارع الحفير  بمحطة الشجره الخصوص  بجوار بيتزا موسي</t>
  </si>
  <si>
    <t>القاهرةرمسيس</t>
  </si>
  <si>
    <t>لا يرد باستمرار</t>
  </si>
  <si>
    <t>هشام مجدي حلمي</t>
  </si>
  <si>
    <t>القليوبيه شبرا الخيمه محطة ملف</t>
  </si>
  <si>
    <t>احمد حميده</t>
  </si>
  <si>
    <t>٦٥ عمارات رابعة الإستثماري شارع عبد العظيم وزير متفرع من شارع النزهة مدينة نصر القاهرة أعلى عطارة الشيخ حبهان الدور الثاني شقة ٢٢</t>
  </si>
  <si>
    <t>عبد الرحمن شاكر</t>
  </si>
  <si>
    <t>السلام النهضة مساكن محمد صبحي</t>
  </si>
  <si>
    <t>نرمين امجد</t>
  </si>
  <si>
    <t>الحي العاشر المجاور 1 عمارة 159 دور تالت  شقة 6 6 اكتوبر</t>
  </si>
  <si>
    <t>حمزه احمد</t>
  </si>
  <si>
    <t>الشيخ زايد الحي 16 مجاوره 2 عماره 213 الدور الأخير  الجيزه  بجوار مول مزار او مسجد علياء</t>
  </si>
  <si>
    <t>محمود محمد عبد الهادي</t>
  </si>
  <si>
    <t>مدينه أكتوبر الحي سادس منطقه المصانع الاتلتمات</t>
  </si>
  <si>
    <t>محمد رمضان</t>
  </si>
  <si>
    <t>١٩ انور حامد القصبجيالمنيب خلف محطه مترو المنيب الجيزه</t>
  </si>
  <si>
    <t>الجيزة</t>
  </si>
  <si>
    <t>عبدالحميد سيد عبدالحميد</t>
  </si>
  <si>
    <t>برك الخيام كرداسه جيزه طريق الابيض بجوار مجمع المدارس الطريق الابيض</t>
  </si>
  <si>
    <t>حرب سالم محمد</t>
  </si>
  <si>
    <t>اسكندريه العامريه مسجد الشرقاوي</t>
  </si>
  <si>
    <t>الاسكندرية</t>
  </si>
  <si>
    <t>محمد ضيف</t>
  </si>
  <si>
    <t>الاسكندريه العامريه شارع جمهوريه عند محمصه عمر مختار</t>
  </si>
  <si>
    <t>سامح ابوالحركوني</t>
  </si>
  <si>
    <t>سوهاج البلينا برديس</t>
  </si>
  <si>
    <t>سوهاج</t>
  </si>
  <si>
    <t>ابراهيم رمضان</t>
  </si>
  <si>
    <t>شبرا الخيمة مسجد كريستال عصفور</t>
  </si>
  <si>
    <t>محمد حسني</t>
  </si>
  <si>
    <t>شبرا الخيمة ام بيومي شارع سنتر عبده تاني شارع يمين تاني عمارة يمين امام العمارة كبابجي ابو سليمان</t>
  </si>
  <si>
    <t>عبدالله محمد علي&gt;&lt;</t>
  </si>
  <si>
    <t>شبرا الخيمه القليوبيه ش الروضه</t>
  </si>
  <si>
    <t>مصطفى محمود سيد</t>
  </si>
  <si>
    <t>القاهرة اثر النبيبجوار طلعة الدائري ٢٧ شارع مصر حلوان الزراعياثر النبي أمام طلعة الدائري دخلة دار السلام</t>
  </si>
  <si>
    <t>محمد كارم</t>
  </si>
  <si>
    <t>دار السلام الملاه بعد الكوبرى</t>
  </si>
  <si>
    <t>ادم محمد</t>
  </si>
  <si>
    <t>التجمع الثالث المحليه الخامسه عماره 175</t>
  </si>
  <si>
    <t>حسن طارق حسن</t>
  </si>
  <si>
    <t>فيلا 26شمال المشتل تاني يمين من بعد فندق ترينف التجمع الخامس</t>
  </si>
  <si>
    <t>يوسف هشام محمود</t>
  </si>
  <si>
    <t>11 شارع الحجاز متفرع من جامعة الدول المهندسين الدور 11 برج انفنتي</t>
  </si>
  <si>
    <t>رفض الأستلام والشحن علي الراسل</t>
  </si>
  <si>
    <t>سيد فتحي</t>
  </si>
  <si>
    <t>شبرا الخيمه شارع احمد عرابي منشيه عبد المنعم رياض شارع ابو مناع رقم ١٦ بجوار مسجد عبد المنعم رياض الدور الثالث</t>
  </si>
  <si>
    <t>محمد الابيض</t>
  </si>
  <si>
    <t>20 شارع محمود العطار متفرع من شارع احمد عرابي ام بيومي شبرا الخيمة قليوبيه بجوار مسجد الصحابه</t>
  </si>
  <si>
    <t>ماجد&gt;&lt;</t>
  </si>
  <si>
    <t>٣٦ ب مجاوره 8 التجمع الاول شقه ٥ الدور الاول</t>
  </si>
  <si>
    <t>امير</t>
  </si>
  <si>
    <t>امير  شبرا الخيمه منطي شارع اللواء معرض نسر البريه للادوات الكهربائيه</t>
  </si>
  <si>
    <t>ابرهيم اشرف</t>
  </si>
  <si>
    <t>شارع امتداد الوحده امبابه أمام جراش سيد كيمو</t>
  </si>
  <si>
    <t>محمد مصطفي محمود</t>
  </si>
  <si>
    <t>امبابة مدينة العمال بلوك ٢١ ش سعد زغلول محافظة  الجيزة</t>
  </si>
  <si>
    <t>سهى محمد &gt;&lt;</t>
  </si>
  <si>
    <t>امبابه القوميه العربيه  ٣شارع عقبه ابن نافع  بجورا سوبر ماركت بيم الدور الثاني شقه ٣</t>
  </si>
  <si>
    <t>احمد ادهم</t>
  </si>
  <si>
    <t>الكدايهمركز اطفيحجيزه بجوار مسجد خاتم المرسلين</t>
  </si>
  <si>
    <t>محسن دخيل</t>
  </si>
  <si>
    <t>الجيزة اخر ش الملك فيصل</t>
  </si>
  <si>
    <t>احمد السيد محمد</t>
  </si>
  <si>
    <t>شارع سعاد كفافى الحى المتميز امام جامعة مصر للعلوم والتكنولوجيا 6 اكتوبر الجيزة</t>
  </si>
  <si>
    <t>بكر بشير عبدالفضيل</t>
  </si>
  <si>
    <t>الهرم شارع عمر بن الخطاب من اللبيني عمارة رقم ٢ الدور الحادي عشر شقه ٢ الجيزه</t>
  </si>
  <si>
    <t>يوسف سيد</t>
  </si>
  <si>
    <t>الجيزه هايبر الشيخ زايد   طريق النادي الاهلي  شارع 14</t>
  </si>
  <si>
    <t>مرتجع جزئي</t>
  </si>
  <si>
    <t>احمد عواض</t>
  </si>
  <si>
    <t>اسيوط المدينه الطريق الدائري كبرى راعرع</t>
  </si>
  <si>
    <t>اسيوط</t>
  </si>
  <si>
    <t>عادل الفالوجي</t>
  </si>
  <si>
    <t>العاشر من رمضان  المجاورة ٦٤عند مفارق المجاورة ٢٨</t>
  </si>
  <si>
    <t>الشرقية</t>
  </si>
  <si>
    <t>LNB00000544</t>
  </si>
  <si>
    <t>إبراهيم السيد</t>
  </si>
  <si>
    <t>بورسعيد بورفؤاد شارع جواد حسني برج الكاميليا أمام مستشفي طوارئ الهيئه اعلي بنك cib الدور العاشر شقه 2</t>
  </si>
  <si>
    <t>بورسعيد</t>
  </si>
  <si>
    <t>استلام طرد</t>
  </si>
  <si>
    <t>محمد عطية</t>
  </si>
  <si>
    <t>24شارع اللواء الاسلامي اسبيكو مدينه السلام</t>
  </si>
  <si>
    <t>اسلام ماشاءالله</t>
  </si>
  <si>
    <t>القاهرة مدينه السلام ملف العبد ارض الريان شارع التسعه عماره ٢</t>
  </si>
  <si>
    <t>LNB00000550</t>
  </si>
  <si>
    <t>عمرو كمال</t>
  </si>
  <si>
    <t>القاهره مدينه نصر 21 شارع النزهه مدينة نصر اسفل كوبري النزهه 17 ش النزه</t>
  </si>
  <si>
    <t>القاهرة</t>
  </si>
  <si>
    <t>محمد علي</t>
  </si>
  <si>
    <t>الجيزه العمرانية الغربية شاررع مدينة النصر رقم 16متفرع نم شارع الثلاثين ى</t>
  </si>
  <si>
    <t>برجاء مراجعة النقدية قبل المغادرة والاحتفاظ بهذه النسخة مع سيادتكم للرجوع إليها فى حالة وجود مشكلة</t>
  </si>
  <si>
    <t>تأجيل</t>
  </si>
  <si>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</si>
  <si>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</si>
  <si>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</si>
  <si>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</si>
  <si>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</si>
  <si>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</si>
  <si>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</si>
  <si>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</si>
  <si>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</si>
  <si>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</si>
  <si>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</si>
  <si>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</si>
  <si>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</si>
  <si>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</si>
  <si>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</si>
  <si>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</si>
  <si>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</si>
  <si>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</si>
  <si>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</si>
  <si>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</si>
  <si>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</si>
  <si>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</si>
  <si>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</si>
  <si>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</si>
  <si>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</si>
  <si>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</si>
  <si>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</si>
  <si>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</si>
  <si>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</si>
  <si>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</si>
  <si>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</si>
  <si>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</si>
  <si>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</si>
  <si>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</si>
  <si>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</si>
  <si>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</si>
  <si>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</si>
  <si>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</si>
  <si>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</si>
  <si>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</si>
  <si>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</si>
  <si>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</si>
  <si>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</si>
  <si>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</si>
  <si>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</si>
  <si>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</si>
  <si>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</si>
  <si>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</si>
  <si>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</si>
  <si>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</si>
  <si>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</si>
  <si>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</si>
  <si>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</si>
  <si>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NOW SHOES (nowshoes0@gmail.com)</t>
  </si>
  <si>
    <t>NOWSHOES  (nowshoes0@gmail.com)</t>
  </si>
  <si>
    <t>New</t>
  </si>
  <si>
    <t>الشيخ زايد</t>
  </si>
  <si>
    <t>01148741284</t>
  </si>
  <si>
    <t>25 Nov 2025</t>
  </si>
  <si>
    <t>in_shipping</t>
  </si>
  <si>
    <t>unpaid</t>
  </si>
  <si>
    <t>SK23-B-42</t>
  </si>
  <si>
    <t>SK23-BI-42</t>
  </si>
  <si>
    <t>اشحنلي</t>
  </si>
  <si>
    <t>اوردر خارجي</t>
  </si>
  <si>
    <t>مدينة الشروق</t>
  </si>
  <si>
    <t>01004806281</t>
  </si>
  <si>
    <t>29 Nov 2025</t>
  </si>
  <si>
    <t>30 Nov 2025</t>
  </si>
  <si>
    <t>PR20-W-45</t>
  </si>
  <si>
    <t>PR20-B*BG-45</t>
  </si>
  <si>
    <t>صفحة الفيس</t>
  </si>
  <si>
    <t>القاهرة الجديدة</t>
  </si>
  <si>
    <t>01062609430</t>
  </si>
  <si>
    <t>01 Dec 2025</t>
  </si>
  <si>
    <t>02 Dec 2025</t>
  </si>
  <si>
    <t>SK5-B-43</t>
  </si>
  <si>
    <t>SK5-W-43</t>
  </si>
  <si>
    <t>دار السلام</t>
  </si>
  <si>
    <t>01115087925</t>
  </si>
  <si>
    <t>SK5-W-42</t>
  </si>
  <si>
    <t>Admin admin (admin6@admin.com)</t>
  </si>
  <si>
    <t>القليوبية</t>
  </si>
  <si>
    <t>شبرا الخيمة</t>
  </si>
  <si>
    <t>01205121580</t>
  </si>
  <si>
    <t>01103975263</t>
  </si>
  <si>
    <t>01123606209</t>
  </si>
  <si>
    <t>01061364369</t>
  </si>
  <si>
    <t>BO4-B-41</t>
  </si>
  <si>
    <t>BO4-G-41</t>
  </si>
  <si>
    <t>SK5-B-41</t>
  </si>
  <si>
    <t>SK5-W-41</t>
  </si>
  <si>
    <t>ملوي</t>
  </si>
  <si>
    <t>01208125450</t>
  </si>
  <si>
    <t>العاشر من رمضان</t>
  </si>
  <si>
    <t>01011851461</t>
  </si>
  <si>
    <t>معدل بعد الارسال</t>
  </si>
  <si>
    <t>01112860668</t>
  </si>
  <si>
    <t>SK5-B-42</t>
  </si>
  <si>
    <t>مدينة السلام</t>
  </si>
  <si>
    <t>01001567626</t>
  </si>
  <si>
    <t>03 Dec 2025</t>
  </si>
  <si>
    <t>D4-B-46</t>
  </si>
  <si>
    <t>D4-W-46</t>
  </si>
  <si>
    <t>D4-G-46</t>
  </si>
  <si>
    <t>01144968331</t>
  </si>
  <si>
    <t>15 مايو</t>
  </si>
  <si>
    <t>01144226828</t>
  </si>
  <si>
    <t>D4-B-44</t>
  </si>
  <si>
    <t>D4-W-44</t>
  </si>
  <si>
    <t>01206088883</t>
  </si>
  <si>
    <t>04 Dec 2025</t>
  </si>
  <si>
    <t>اطفيح</t>
  </si>
  <si>
    <t>01094051234</t>
  </si>
  <si>
    <t>BO4-BU-45</t>
  </si>
  <si>
    <t>أكتوبر</t>
  </si>
  <si>
    <t>01020004920</t>
  </si>
  <si>
    <t>01114335677</t>
  </si>
  <si>
    <t>D4-B-45</t>
  </si>
  <si>
    <t>D4-G-45</t>
  </si>
  <si>
    <t>D4-B-42</t>
  </si>
  <si>
    <t>التجمع الخامس</t>
  </si>
  <si>
    <t>01128253334</t>
  </si>
  <si>
    <t>D4-G-42</t>
  </si>
  <si>
    <t>01557039106</t>
  </si>
  <si>
    <t>01094934623</t>
  </si>
  <si>
    <t>SK5-B-45</t>
  </si>
  <si>
    <t>SK5-W-45</t>
  </si>
  <si>
    <t>التجمع الثالث</t>
  </si>
  <si>
    <t>01273525507</t>
  </si>
  <si>
    <t>AMA8-BR-41</t>
  </si>
  <si>
    <t>AMA8-WG-41</t>
  </si>
  <si>
    <t>Replace</t>
  </si>
  <si>
    <t>01270851226</t>
  </si>
  <si>
    <t>01100517289</t>
  </si>
  <si>
    <t>amira saleh</t>
  </si>
  <si>
    <t>01040570115</t>
  </si>
  <si>
    <t>01229081700</t>
  </si>
  <si>
    <t>BO4-G-45</t>
  </si>
  <si>
    <t>الهرم</t>
  </si>
  <si>
    <t>01150504611</t>
  </si>
  <si>
    <t>01021664020</t>
  </si>
  <si>
    <t>امبابة</t>
  </si>
  <si>
    <t>01127189344</t>
  </si>
  <si>
    <t>default  (default@admin.com)</t>
  </si>
  <si>
    <t>التجمع الأول</t>
  </si>
  <si>
    <t>01050339827</t>
  </si>
  <si>
    <t>PR25-ابيض-46</t>
  </si>
  <si>
    <t>KS5-رمادي-46</t>
  </si>
  <si>
    <t>أسيوط</t>
  </si>
  <si>
    <t>مدينه اسيوط</t>
  </si>
  <si>
    <t>01000290024</t>
  </si>
  <si>
    <t>SK23-B-43</t>
  </si>
  <si>
    <t>SK23-BI-43</t>
  </si>
  <si>
    <t>01123265080</t>
  </si>
  <si>
    <t>BO4-W-41</t>
  </si>
  <si>
    <t>صفط</t>
  </si>
  <si>
    <t>01282711524</t>
  </si>
  <si>
    <t>العمرانية</t>
  </si>
  <si>
    <t>01117118164</t>
  </si>
  <si>
    <t>06 Dec 2025</t>
  </si>
  <si>
    <t>01221197052</t>
  </si>
  <si>
    <t>01067973774</t>
  </si>
  <si>
    <t>BO4-B-45</t>
  </si>
  <si>
    <t>BO4-W-45</t>
  </si>
  <si>
    <t>فيصل</t>
  </si>
  <si>
    <t>01006844489</t>
  </si>
  <si>
    <t>01001148734</t>
  </si>
  <si>
    <t>D4-W-45</t>
  </si>
  <si>
    <t>01009694321</t>
  </si>
  <si>
    <t>01091331941</t>
  </si>
  <si>
    <t>HK01-W-42</t>
  </si>
  <si>
    <t>01283321161</t>
  </si>
  <si>
    <t>BO4-B-43</t>
  </si>
  <si>
    <t>BO4-BU-43</t>
  </si>
  <si>
    <t>SK23</t>
  </si>
  <si>
    <t>PR20</t>
  </si>
  <si>
    <t>SK5</t>
  </si>
  <si>
    <t>BO4</t>
  </si>
  <si>
    <t>D4</t>
  </si>
  <si>
    <t>AMA8</t>
  </si>
  <si>
    <t>القطع</t>
  </si>
  <si>
    <t>موديل</t>
  </si>
  <si>
    <t>سعر التوريد</t>
  </si>
  <si>
    <t>استحقاق المصنع</t>
  </si>
  <si>
    <t>قطع تسليم اشحنلي من توريد يوم الثلاثاء 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</si>
</sst>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0"/>
      <name val="MS Sans Serif"/>
      <family val="2"/>
      <charset val="178"/>
    </font>
    <font>
      <sz val="11"/>
      <name val="Calibri"/>
      <family val="2"/>
    </font>
    <font>
      <b/>
      <sz val="2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1" fillId="0" borderId="0"/>
    <xf numFmtId="0" fontId="1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</cellStyleXfs>
  <cellXfs count="3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/>
    </xf>
    <xf numFmtId="0" fontId="0" fillId="0" borderId="0" xfId="0"/>
    <xf numFmtId="0" fontId="3" fillId="4" borderId="5" xfId="0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1" fillId="0" borderId="0" xfId="25" applyFont="1" applyFill="1" applyAlignment="1">
      <alignment horizontal="center"/>
    </xf>
    <xf numFmtId="0" fontId="12" fillId="0" borderId="0" xfId="25" applyFont="1" applyFill="1"/>
    <xf numFmtId="0" fontId="10" fillId="0" borderId="0" xfId="25"/>
    <xf numFmtId="0" fontId="13" fillId="0" borderId="0" xfId="25" applyFont="1" applyAlignment="1">
      <alignment horizontal="center"/>
    </xf>
    <xf numFmtId="0" fontId="13" fillId="4" borderId="0" xfId="25" applyFont="1" applyFill="1" applyAlignment="1">
      <alignment horizontal="center"/>
    </xf>
    <xf numFmtId="0" fontId="10" fillId="4" borderId="0" xfId="25" applyFill="1"/>
    <xf numFmtId="0" fontId="13" fillId="5" borderId="0" xfId="25" applyFont="1" applyFill="1" applyAlignment="1">
      <alignment horizontal="center"/>
    </xf>
    <xf numFmtId="0" fontId="10" fillId="5" borderId="0" xfId="25" applyFill="1"/>
    <xf numFmtId="14" fontId="7" fillId="0" borderId="1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0" fillId="0" borderId="0" xfId="0"/>
    <xf numFmtId="0" fontId="14" fillId="0" borderId="4" xfId="1" applyFont="1" applyBorder="1" applyAlignment="1">
      <alignment horizontal="center"/>
    </xf>
    <xf numFmtId="0" fontId="15" fillId="0" borderId="4" xfId="0" applyFont="1" applyBorder="1"/>
  </cellXfs>
  <cellStyles count="26">
    <cellStyle name="Normal" xfId="0" builtinId="0"/>
    <cellStyle name="Normal 10" xfId="23"/>
    <cellStyle name="Normal 10 2" xfId="20"/>
    <cellStyle name="Normal 11" xfId="11"/>
    <cellStyle name="Normal 12" xfId="24"/>
    <cellStyle name="Normal 13" xfId="25"/>
    <cellStyle name="Normal 14" xfId="9"/>
    <cellStyle name="Normal 15" xfId="10"/>
    <cellStyle name="Normal 16" xfId="12"/>
    <cellStyle name="Normal 2" xfId="1"/>
    <cellStyle name="Normal 2 2" xfId="3"/>
    <cellStyle name="Normal 3" xfId="5"/>
    <cellStyle name="Normal 4" xfId="4"/>
    <cellStyle name="Normal 4 2" xfId="8"/>
    <cellStyle name="Normal 4 2 2" xfId="15"/>
    <cellStyle name="Normal 4 2 2 2" xfId="19"/>
    <cellStyle name="Normal 4 2 3" xfId="17"/>
    <cellStyle name="Normal 4 3" xfId="14"/>
    <cellStyle name="Normal 4 3 2" xfId="18"/>
    <cellStyle name="Normal 4 4" xfId="16"/>
    <cellStyle name="Normal 5" xfId="13"/>
    <cellStyle name="Normal 6" xfId="2"/>
    <cellStyle name="Normal 6 2" xfId="7"/>
    <cellStyle name="Normal 7" xfId="6"/>
    <cellStyle name="Normal 8" xfId="21"/>
    <cellStyle name="Normal 9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42249"/>
  <sheetViews>
    <sheetView workbookViewId="0">
      <selection activeCell="A13" sqref="A13:G13"/>
    </sheetView>
  </sheetViews>
  <sheetFormatPr defaultRowHeight="15"/>
  <cols>
    <col min="1" max="1" width="16.28515625" customWidth="1"/>
    <col min="2" max="2" width="16.28515625" style="18" customWidth="1"/>
    <col min="12" max="13" width="16" customWidth="1"/>
  </cols>
  <sheetData>
    <row r="1" spans="1:14" ht="27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>
      <c r="A2" s="10" t="s">
        <v>1</v>
      </c>
      <c r="B2" s="10"/>
      <c r="C2" s="2" t="s">
        <v>2</v>
      </c>
      <c r="D2" s="3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0" t="s">
        <v>10</v>
      </c>
      <c r="L2" s="1" t="s">
        <v>11</v>
      </c>
      <c r="M2" s="1" t="s">
        <v>12</v>
      </c>
      <c r="N2" s="1" t="s">
        <v>13</v>
      </c>
    </row>
    <row r="3" spans="1:14">
      <c r="A3" s="12">
        <v>3499759347</v>
      </c>
      <c r="B3" s="12" t="str">
        <f>CONCATENATE(A3,",")</f>
        <v>3499759347,</v>
      </c>
      <c r="C3" s="13">
        <v>45991</v>
      </c>
      <c r="D3" s="12">
        <v>1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>
        <v>700</v>
      </c>
      <c r="K3" s="14">
        <v>50</v>
      </c>
      <c r="L3" s="4">
        <v>650</v>
      </c>
      <c r="M3" s="12" t="s">
        <v>19</v>
      </c>
      <c r="N3" s="12" t="s">
        <v>20</v>
      </c>
    </row>
    <row r="4" spans="1:14">
      <c r="A4" s="12">
        <v>3453935948</v>
      </c>
      <c r="B4" s="12" t="str">
        <f t="shared" ref="B4:B6" si="0">CONCATENATE(A4,",")</f>
        <v>3453935948,</v>
      </c>
      <c r="C4" s="13">
        <v>45986</v>
      </c>
      <c r="D4" s="12">
        <v>1</v>
      </c>
      <c r="E4" s="12" t="s">
        <v>14</v>
      </c>
      <c r="F4" s="12" t="s">
        <v>15</v>
      </c>
      <c r="G4" s="12" t="s">
        <v>21</v>
      </c>
      <c r="H4" s="12" t="s">
        <v>22</v>
      </c>
      <c r="I4" s="12" t="s">
        <v>23</v>
      </c>
      <c r="J4" s="12">
        <v>700</v>
      </c>
      <c r="K4" s="14">
        <v>50</v>
      </c>
      <c r="L4" s="4">
        <v>650</v>
      </c>
      <c r="M4" s="12" t="s">
        <v>24</v>
      </c>
      <c r="N4" s="12" t="s">
        <v>20</v>
      </c>
    </row>
    <row r="5" spans="1:14">
      <c r="A5" s="12">
        <v>5475793348</v>
      </c>
      <c r="B5" s="12" t="str">
        <f t="shared" si="0"/>
        <v>5475793348,</v>
      </c>
      <c r="C5" s="13">
        <v>45995</v>
      </c>
      <c r="D5" s="12">
        <v>1</v>
      </c>
      <c r="E5" s="12" t="s">
        <v>14</v>
      </c>
      <c r="F5" s="12" t="s">
        <v>15</v>
      </c>
      <c r="G5" s="12" t="s">
        <v>25</v>
      </c>
      <c r="H5" s="12" t="s">
        <v>26</v>
      </c>
      <c r="I5" s="12" t="s">
        <v>23</v>
      </c>
      <c r="J5" s="12">
        <v>650</v>
      </c>
      <c r="K5" s="14">
        <v>50</v>
      </c>
      <c r="L5" s="4">
        <v>600</v>
      </c>
      <c r="M5" s="12" t="s">
        <v>24</v>
      </c>
      <c r="N5" s="12" t="s">
        <v>20</v>
      </c>
    </row>
    <row r="6" spans="1:14">
      <c r="A6" s="12">
        <v>8467935945</v>
      </c>
      <c r="B6" s="12" t="str">
        <f t="shared" si="0"/>
        <v>8467935945,</v>
      </c>
      <c r="C6" s="13">
        <v>45995</v>
      </c>
      <c r="D6" s="12">
        <v>1</v>
      </c>
      <c r="E6" s="12" t="s">
        <v>14</v>
      </c>
      <c r="F6" s="12" t="s">
        <v>15</v>
      </c>
      <c r="G6" s="12" t="s">
        <v>27</v>
      </c>
      <c r="H6" s="12" t="s">
        <v>28</v>
      </c>
      <c r="I6" s="12" t="s">
        <v>23</v>
      </c>
      <c r="J6" s="12">
        <v>850</v>
      </c>
      <c r="K6" s="14">
        <v>50</v>
      </c>
      <c r="L6" s="4">
        <v>800</v>
      </c>
      <c r="M6" s="12" t="s">
        <v>24</v>
      </c>
      <c r="N6" s="12" t="s">
        <v>20</v>
      </c>
    </row>
    <row r="7" spans="1:14" hidden="1">
      <c r="A7" s="12" t="s">
        <v>29</v>
      </c>
      <c r="B7" s="12"/>
      <c r="C7" s="13">
        <v>45993</v>
      </c>
      <c r="D7" s="12">
        <v>1</v>
      </c>
      <c r="E7" s="12" t="s">
        <v>14</v>
      </c>
      <c r="F7" s="12" t="s">
        <v>15</v>
      </c>
      <c r="G7" s="12" t="s">
        <v>30</v>
      </c>
      <c r="H7" s="12" t="s">
        <v>31</v>
      </c>
      <c r="I7" s="5" t="s">
        <v>32</v>
      </c>
      <c r="J7" s="12">
        <v>0</v>
      </c>
      <c r="K7" s="14">
        <v>50</v>
      </c>
      <c r="L7" s="4">
        <v>-50</v>
      </c>
      <c r="M7" s="12" t="s">
        <v>19</v>
      </c>
      <c r="N7" s="12" t="s">
        <v>33</v>
      </c>
    </row>
    <row r="8" spans="1:14">
      <c r="A8" s="12">
        <v>3457569848</v>
      </c>
      <c r="B8" s="12" t="str">
        <f t="shared" ref="B8:B68" si="1">CONCATENATE(A8,",")</f>
        <v>3457569848,</v>
      </c>
      <c r="C8" s="13">
        <v>45995</v>
      </c>
      <c r="D8" s="12">
        <v>1</v>
      </c>
      <c r="E8" s="12" t="s">
        <v>14</v>
      </c>
      <c r="F8" s="12" t="s">
        <v>15</v>
      </c>
      <c r="G8" s="12" t="s">
        <v>34</v>
      </c>
      <c r="H8" s="12" t="s">
        <v>35</v>
      </c>
      <c r="I8" s="5" t="s">
        <v>32</v>
      </c>
      <c r="J8" s="12">
        <v>450</v>
      </c>
      <c r="K8" s="14">
        <v>50</v>
      </c>
      <c r="L8" s="4">
        <v>400</v>
      </c>
      <c r="M8" s="12" t="s">
        <v>19</v>
      </c>
      <c r="N8" s="12" t="s">
        <v>20</v>
      </c>
    </row>
    <row r="9" spans="1:14">
      <c r="A9" s="12">
        <v>5475797348</v>
      </c>
      <c r="B9" s="12" t="str">
        <f t="shared" si="1"/>
        <v>5475797348,</v>
      </c>
      <c r="C9" s="13">
        <v>45995</v>
      </c>
      <c r="D9" s="12">
        <v>1</v>
      </c>
      <c r="E9" s="12" t="s">
        <v>14</v>
      </c>
      <c r="F9" s="12" t="s">
        <v>15</v>
      </c>
      <c r="G9" s="12" t="s">
        <v>36</v>
      </c>
      <c r="H9" s="12" t="s">
        <v>37</v>
      </c>
      <c r="I9" s="5" t="s">
        <v>32</v>
      </c>
      <c r="J9" s="12">
        <v>650</v>
      </c>
      <c r="K9" s="14">
        <v>50</v>
      </c>
      <c r="L9" s="4">
        <v>600</v>
      </c>
      <c r="M9" s="12" t="s">
        <v>19</v>
      </c>
      <c r="N9" s="12" t="s">
        <v>20</v>
      </c>
    </row>
    <row r="10" spans="1:14" hidden="1">
      <c r="A10" s="12">
        <v>5475383948</v>
      </c>
      <c r="B10" s="12" t="str">
        <f t="shared" si="1"/>
        <v>5475383948,</v>
      </c>
      <c r="C10" s="13">
        <v>45993</v>
      </c>
      <c r="D10" s="12">
        <v>1</v>
      </c>
      <c r="E10" s="12" t="s">
        <v>14</v>
      </c>
      <c r="F10" s="12" t="s">
        <v>15</v>
      </c>
      <c r="G10" s="12" t="s">
        <v>38</v>
      </c>
      <c r="H10" s="12" t="s">
        <v>39</v>
      </c>
      <c r="I10" s="12" t="s">
        <v>18</v>
      </c>
      <c r="J10" s="12">
        <v>30</v>
      </c>
      <c r="K10" s="12">
        <v>30</v>
      </c>
      <c r="L10" s="4">
        <v>0</v>
      </c>
      <c r="M10" s="12" t="s">
        <v>40</v>
      </c>
      <c r="N10" s="12" t="s">
        <v>41</v>
      </c>
    </row>
    <row r="11" spans="1:14">
      <c r="A11" s="12">
        <v>7488738645</v>
      </c>
      <c r="B11" s="12" t="str">
        <f t="shared" si="1"/>
        <v>7488738645,</v>
      </c>
      <c r="C11" s="13">
        <v>45993</v>
      </c>
      <c r="D11" s="12">
        <v>1</v>
      </c>
      <c r="E11" s="12" t="s">
        <v>14</v>
      </c>
      <c r="F11" s="12" t="s">
        <v>15</v>
      </c>
      <c r="G11" s="12" t="s">
        <v>42</v>
      </c>
      <c r="H11" s="12" t="s">
        <v>43</v>
      </c>
      <c r="I11" s="12" t="s">
        <v>18</v>
      </c>
      <c r="J11" s="12">
        <v>650</v>
      </c>
      <c r="K11" s="14">
        <v>50</v>
      </c>
      <c r="L11" s="4">
        <v>600</v>
      </c>
      <c r="M11" s="12" t="s">
        <v>19</v>
      </c>
      <c r="N11" s="12" t="s">
        <v>20</v>
      </c>
    </row>
    <row r="12" spans="1:14">
      <c r="A12" s="12">
        <v>7488757645</v>
      </c>
      <c r="B12" s="12" t="str">
        <f t="shared" si="1"/>
        <v>7488757645,</v>
      </c>
      <c r="C12" s="13">
        <v>45993</v>
      </c>
      <c r="D12" s="12">
        <v>1</v>
      </c>
      <c r="E12" s="12" t="s">
        <v>14</v>
      </c>
      <c r="F12" s="12" t="s">
        <v>15</v>
      </c>
      <c r="G12" s="12" t="s">
        <v>44</v>
      </c>
      <c r="H12" s="12" t="s">
        <v>45</v>
      </c>
      <c r="I12" s="12" t="s">
        <v>18</v>
      </c>
      <c r="J12" s="12">
        <v>460</v>
      </c>
      <c r="K12" s="14">
        <v>50</v>
      </c>
      <c r="L12" s="4">
        <v>410</v>
      </c>
      <c r="M12" s="12" t="s">
        <v>19</v>
      </c>
      <c r="N12" s="12" t="s">
        <v>20</v>
      </c>
    </row>
    <row r="13" spans="1:14">
      <c r="A13" s="12">
        <v>3457355948</v>
      </c>
      <c r="B13" s="12" t="str">
        <f t="shared" si="1"/>
        <v>3457355948,</v>
      </c>
      <c r="C13" s="13">
        <v>45994</v>
      </c>
      <c r="D13" s="12">
        <v>1</v>
      </c>
      <c r="E13" s="12" t="s">
        <v>14</v>
      </c>
      <c r="F13" s="12" t="s">
        <v>15</v>
      </c>
      <c r="G13" s="12" t="s">
        <v>46</v>
      </c>
      <c r="H13" s="12" t="s">
        <v>47</v>
      </c>
      <c r="I13" s="12" t="s">
        <v>18</v>
      </c>
      <c r="J13" s="12">
        <v>200</v>
      </c>
      <c r="K13" s="14">
        <v>50</v>
      </c>
      <c r="L13" s="4">
        <v>150</v>
      </c>
      <c r="M13" s="12" t="s">
        <v>19</v>
      </c>
      <c r="N13" s="12" t="s">
        <v>20</v>
      </c>
    </row>
    <row r="14" spans="1:14">
      <c r="A14" s="12">
        <v>3493985847</v>
      </c>
      <c r="B14" s="12" t="str">
        <f t="shared" si="1"/>
        <v>3493985847,</v>
      </c>
      <c r="C14" s="13">
        <v>45994</v>
      </c>
      <c r="D14" s="12">
        <v>1</v>
      </c>
      <c r="E14" s="12" t="s">
        <v>14</v>
      </c>
      <c r="F14" s="12" t="s">
        <v>15</v>
      </c>
      <c r="G14" s="12" t="s">
        <v>48</v>
      </c>
      <c r="H14" s="12" t="s">
        <v>49</v>
      </c>
      <c r="I14" s="12" t="s">
        <v>18</v>
      </c>
      <c r="J14" s="12">
        <v>660</v>
      </c>
      <c r="K14" s="14">
        <v>50</v>
      </c>
      <c r="L14" s="4">
        <v>610</v>
      </c>
      <c r="M14" s="12" t="s">
        <v>19</v>
      </c>
      <c r="N14" s="12" t="s">
        <v>20</v>
      </c>
    </row>
    <row r="15" spans="1:14">
      <c r="A15" s="12">
        <v>7488685545</v>
      </c>
      <c r="B15" s="12" t="str">
        <f t="shared" si="1"/>
        <v>7488685545,</v>
      </c>
      <c r="C15" s="13">
        <v>45995</v>
      </c>
      <c r="D15" s="12">
        <v>1</v>
      </c>
      <c r="E15" s="12" t="s">
        <v>14</v>
      </c>
      <c r="F15" s="12" t="s">
        <v>15</v>
      </c>
      <c r="G15" s="12" t="s">
        <v>50</v>
      </c>
      <c r="H15" s="12" t="s">
        <v>51</v>
      </c>
      <c r="I15" s="12" t="s">
        <v>18</v>
      </c>
      <c r="J15" s="12">
        <v>650</v>
      </c>
      <c r="K15" s="14">
        <v>50</v>
      </c>
      <c r="L15" s="4">
        <v>600</v>
      </c>
      <c r="M15" s="12" t="s">
        <v>19</v>
      </c>
      <c r="N15" s="12" t="s">
        <v>20</v>
      </c>
    </row>
    <row r="16" spans="1:14">
      <c r="A16" s="12">
        <v>3499755847</v>
      </c>
      <c r="B16" s="12" t="str">
        <f t="shared" si="1"/>
        <v>3499755847,</v>
      </c>
      <c r="C16" s="13">
        <v>45993</v>
      </c>
      <c r="D16" s="12">
        <v>1</v>
      </c>
      <c r="E16" s="12" t="s">
        <v>14</v>
      </c>
      <c r="F16" s="12" t="s">
        <v>15</v>
      </c>
      <c r="G16" s="12" t="s">
        <v>52</v>
      </c>
      <c r="H16" s="12" t="s">
        <v>53</v>
      </c>
      <c r="I16" s="5" t="s">
        <v>54</v>
      </c>
      <c r="J16" s="12">
        <v>650</v>
      </c>
      <c r="K16" s="14">
        <v>50</v>
      </c>
      <c r="L16" s="4">
        <v>600</v>
      </c>
      <c r="M16" s="12" t="s">
        <v>19</v>
      </c>
      <c r="N16" s="12" t="s">
        <v>20</v>
      </c>
    </row>
    <row r="17" spans="1:14" hidden="1">
      <c r="A17" s="12">
        <v>7488677945</v>
      </c>
      <c r="B17" s="12" t="str">
        <f t="shared" si="1"/>
        <v>7488677945,</v>
      </c>
      <c r="C17" s="13">
        <v>45994</v>
      </c>
      <c r="D17" s="12">
        <v>1</v>
      </c>
      <c r="E17" s="12" t="s">
        <v>14</v>
      </c>
      <c r="F17" s="12" t="s">
        <v>15</v>
      </c>
      <c r="G17" s="12" t="s">
        <v>55</v>
      </c>
      <c r="H17" s="12" t="s">
        <v>56</v>
      </c>
      <c r="I17" s="5" t="s">
        <v>54</v>
      </c>
      <c r="J17" s="12">
        <v>30</v>
      </c>
      <c r="K17" s="12">
        <v>30</v>
      </c>
      <c r="L17" s="4">
        <v>0</v>
      </c>
      <c r="M17" s="12" t="s">
        <v>40</v>
      </c>
      <c r="N17" s="12" t="s">
        <v>57</v>
      </c>
    </row>
    <row r="18" spans="1:14">
      <c r="A18" s="12">
        <v>5477668548</v>
      </c>
      <c r="B18" s="12" t="str">
        <f t="shared" si="1"/>
        <v>5477668548,</v>
      </c>
      <c r="C18" s="13">
        <v>45993</v>
      </c>
      <c r="D18" s="12">
        <v>1</v>
      </c>
      <c r="E18" s="12" t="s">
        <v>14</v>
      </c>
      <c r="F18" s="12" t="s">
        <v>58</v>
      </c>
      <c r="G18" s="12" t="s">
        <v>59</v>
      </c>
      <c r="H18" s="12" t="s">
        <v>60</v>
      </c>
      <c r="I18" s="12" t="s">
        <v>61</v>
      </c>
      <c r="J18" s="12">
        <v>670</v>
      </c>
      <c r="K18" s="14">
        <v>63</v>
      </c>
      <c r="L18" s="4">
        <v>607</v>
      </c>
      <c r="M18" s="12" t="s">
        <v>19</v>
      </c>
      <c r="N18" s="12" t="s">
        <v>20</v>
      </c>
    </row>
    <row r="19" spans="1:14" hidden="1">
      <c r="A19" s="12">
        <v>3433866645</v>
      </c>
      <c r="B19" s="12" t="str">
        <f t="shared" si="1"/>
        <v>3433866645,</v>
      </c>
      <c r="C19" s="13">
        <v>45993</v>
      </c>
      <c r="D19" s="12"/>
      <c r="E19" s="12" t="s">
        <v>14</v>
      </c>
      <c r="F19" s="12" t="s">
        <v>15</v>
      </c>
      <c r="G19" s="12" t="s">
        <v>62</v>
      </c>
      <c r="H19" s="12" t="s">
        <v>63</v>
      </c>
      <c r="I19" s="12" t="s">
        <v>23</v>
      </c>
      <c r="J19" s="12">
        <v>0</v>
      </c>
      <c r="K19" s="12">
        <v>0</v>
      </c>
      <c r="L19" s="4">
        <v>0</v>
      </c>
      <c r="M19" s="12" t="s">
        <v>40</v>
      </c>
      <c r="N19" s="12" t="s">
        <v>64</v>
      </c>
    </row>
    <row r="20" spans="1:14" hidden="1">
      <c r="A20" s="12">
        <v>8467958745</v>
      </c>
      <c r="B20" s="12" t="str">
        <f t="shared" si="1"/>
        <v>8467958745,</v>
      </c>
      <c r="C20" s="13">
        <v>45993</v>
      </c>
      <c r="D20" s="12"/>
      <c r="E20" s="12" t="s">
        <v>14</v>
      </c>
      <c r="F20" s="12" t="s">
        <v>15</v>
      </c>
      <c r="G20" s="12" t="s">
        <v>65</v>
      </c>
      <c r="H20" s="12" t="s">
        <v>66</v>
      </c>
      <c r="I20" s="12" t="s">
        <v>23</v>
      </c>
      <c r="J20" s="12">
        <v>0</v>
      </c>
      <c r="K20" s="12">
        <v>0</v>
      </c>
      <c r="L20" s="4">
        <v>0</v>
      </c>
      <c r="M20" s="12" t="s">
        <v>40</v>
      </c>
      <c r="N20" s="12" t="s">
        <v>67</v>
      </c>
    </row>
    <row r="21" spans="1:14" hidden="1">
      <c r="A21" s="12">
        <v>3437677745</v>
      </c>
      <c r="B21" s="12" t="str">
        <f t="shared" si="1"/>
        <v>3437677745,</v>
      </c>
      <c r="C21" s="13">
        <v>45986</v>
      </c>
      <c r="D21" s="12"/>
      <c r="E21" s="12" t="s">
        <v>14</v>
      </c>
      <c r="F21" s="12" t="s">
        <v>15</v>
      </c>
      <c r="G21" s="12" t="s">
        <v>68</v>
      </c>
      <c r="H21" s="12" t="s">
        <v>69</v>
      </c>
      <c r="I21" s="5" t="s">
        <v>54</v>
      </c>
      <c r="J21" s="12">
        <v>0</v>
      </c>
      <c r="K21" s="12">
        <v>0</v>
      </c>
      <c r="L21" s="4">
        <v>0</v>
      </c>
      <c r="M21" s="12" t="s">
        <v>40</v>
      </c>
      <c r="N21" s="12" t="s">
        <v>70</v>
      </c>
    </row>
    <row r="22" spans="1:14" hidden="1">
      <c r="A22" s="12">
        <v>7488769545</v>
      </c>
      <c r="B22" s="12" t="str">
        <f t="shared" si="1"/>
        <v>7488769545,</v>
      </c>
      <c r="C22" s="13">
        <v>45993</v>
      </c>
      <c r="D22" s="12"/>
      <c r="E22" s="12" t="s">
        <v>14</v>
      </c>
      <c r="F22" s="12" t="s">
        <v>15</v>
      </c>
      <c r="G22" s="12" t="s">
        <v>71</v>
      </c>
      <c r="H22" s="12" t="s">
        <v>72</v>
      </c>
      <c r="I22" s="5" t="s">
        <v>54</v>
      </c>
      <c r="J22" s="12">
        <v>0</v>
      </c>
      <c r="K22" s="12">
        <v>0</v>
      </c>
      <c r="L22" s="4">
        <v>0</v>
      </c>
      <c r="M22" s="12" t="s">
        <v>40</v>
      </c>
      <c r="N22" s="12" t="s">
        <v>64</v>
      </c>
    </row>
    <row r="23" spans="1:14" hidden="1">
      <c r="A23" s="12">
        <v>3453875848</v>
      </c>
      <c r="B23" s="12" t="str">
        <f t="shared" si="1"/>
        <v>3453875848,</v>
      </c>
      <c r="C23" s="13">
        <v>45991</v>
      </c>
      <c r="D23" s="12"/>
      <c r="E23" s="12" t="s">
        <v>14</v>
      </c>
      <c r="F23" s="12" t="s">
        <v>15</v>
      </c>
      <c r="G23" s="12" t="s">
        <v>73</v>
      </c>
      <c r="H23" s="12" t="s">
        <v>74</v>
      </c>
      <c r="I23" s="5" t="s">
        <v>32</v>
      </c>
      <c r="J23" s="12">
        <v>0</v>
      </c>
      <c r="K23" s="12">
        <v>0</v>
      </c>
      <c r="L23" s="4">
        <v>0</v>
      </c>
      <c r="M23" s="12" t="s">
        <v>40</v>
      </c>
      <c r="N23" s="12" t="s">
        <v>64</v>
      </c>
    </row>
    <row r="24" spans="1:14" hidden="1">
      <c r="A24" s="12">
        <v>3437567745</v>
      </c>
      <c r="B24" s="12" t="str">
        <f t="shared" si="1"/>
        <v>3437567745,</v>
      </c>
      <c r="C24" s="13">
        <v>45990</v>
      </c>
      <c r="D24" s="12"/>
      <c r="E24" s="12" t="s">
        <v>14</v>
      </c>
      <c r="F24" s="12" t="s">
        <v>15</v>
      </c>
      <c r="G24" s="12" t="s">
        <v>75</v>
      </c>
      <c r="H24" s="12" t="s">
        <v>76</v>
      </c>
      <c r="I24" s="5" t="s">
        <v>32</v>
      </c>
      <c r="J24" s="12">
        <v>0</v>
      </c>
      <c r="K24" s="12">
        <v>0</v>
      </c>
      <c r="L24" s="4">
        <v>0</v>
      </c>
      <c r="M24" s="12" t="s">
        <v>40</v>
      </c>
      <c r="N24" s="12" t="s">
        <v>64</v>
      </c>
    </row>
    <row r="25" spans="1:14" hidden="1">
      <c r="A25" s="12">
        <v>5475738548</v>
      </c>
      <c r="B25" s="12" t="str">
        <f t="shared" si="1"/>
        <v>5475738548,</v>
      </c>
      <c r="C25" s="13">
        <v>45994</v>
      </c>
      <c r="D25" s="12"/>
      <c r="E25" s="12" t="s">
        <v>14</v>
      </c>
      <c r="F25" s="12" t="s">
        <v>15</v>
      </c>
      <c r="G25" s="12" t="s">
        <v>77</v>
      </c>
      <c r="H25" s="12" t="s">
        <v>78</v>
      </c>
      <c r="I25" s="5" t="s">
        <v>32</v>
      </c>
      <c r="J25" s="12">
        <v>0</v>
      </c>
      <c r="K25" s="12">
        <v>0</v>
      </c>
      <c r="L25" s="4">
        <v>0</v>
      </c>
      <c r="M25" s="12" t="s">
        <v>40</v>
      </c>
      <c r="N25" s="12" t="s">
        <v>64</v>
      </c>
    </row>
    <row r="26" spans="1:14" hidden="1">
      <c r="A26" s="12">
        <v>5477677948</v>
      </c>
      <c r="B26" s="12" t="str">
        <f t="shared" si="1"/>
        <v>5477677948,</v>
      </c>
      <c r="C26" s="13">
        <v>45991</v>
      </c>
      <c r="D26" s="12"/>
      <c r="E26" s="12" t="s">
        <v>14</v>
      </c>
      <c r="F26" s="12" t="s">
        <v>15</v>
      </c>
      <c r="G26" s="12" t="s">
        <v>79</v>
      </c>
      <c r="H26" s="12" t="s">
        <v>80</v>
      </c>
      <c r="I26" s="5" t="s">
        <v>32</v>
      </c>
      <c r="J26" s="12">
        <v>0</v>
      </c>
      <c r="K26" s="12">
        <v>0</v>
      </c>
      <c r="L26" s="4">
        <v>0</v>
      </c>
      <c r="M26" s="12" t="s">
        <v>40</v>
      </c>
      <c r="N26" s="12" t="s">
        <v>64</v>
      </c>
    </row>
    <row r="27" spans="1:14" hidden="1">
      <c r="A27" s="12">
        <v>7486389945</v>
      </c>
      <c r="B27" s="12" t="str">
        <f t="shared" si="1"/>
        <v>7486389945,</v>
      </c>
      <c r="C27" s="13">
        <v>45993</v>
      </c>
      <c r="D27" s="12"/>
      <c r="E27" s="12" t="s">
        <v>14</v>
      </c>
      <c r="F27" s="12" t="s">
        <v>15</v>
      </c>
      <c r="G27" s="12" t="s">
        <v>81</v>
      </c>
      <c r="H27" s="12" t="s">
        <v>82</v>
      </c>
      <c r="I27" s="5" t="s">
        <v>32</v>
      </c>
      <c r="J27" s="12">
        <v>0</v>
      </c>
      <c r="K27" s="12">
        <v>0</v>
      </c>
      <c r="L27" s="4">
        <v>0</v>
      </c>
      <c r="M27" s="12" t="s">
        <v>40</v>
      </c>
      <c r="N27" s="12" t="s">
        <v>64</v>
      </c>
    </row>
    <row r="28" spans="1:14" hidden="1">
      <c r="A28" s="12">
        <v>8465878845</v>
      </c>
      <c r="B28" s="12" t="str">
        <f t="shared" si="1"/>
        <v>8465878845,</v>
      </c>
      <c r="C28" s="13">
        <v>45990</v>
      </c>
      <c r="D28" s="12"/>
      <c r="E28" s="12" t="s">
        <v>14</v>
      </c>
      <c r="F28" s="12" t="s">
        <v>15</v>
      </c>
      <c r="G28" s="12" t="s">
        <v>83</v>
      </c>
      <c r="H28" s="12" t="s">
        <v>84</v>
      </c>
      <c r="I28" s="5" t="s">
        <v>32</v>
      </c>
      <c r="J28" s="12">
        <v>0</v>
      </c>
      <c r="K28" s="12">
        <v>0</v>
      </c>
      <c r="L28" s="4">
        <v>0</v>
      </c>
      <c r="M28" s="12" t="s">
        <v>40</v>
      </c>
      <c r="N28" s="12" t="s">
        <v>64</v>
      </c>
    </row>
    <row r="29" spans="1:14" hidden="1">
      <c r="A29" s="12">
        <v>8467966945</v>
      </c>
      <c r="B29" s="12" t="str">
        <f t="shared" si="1"/>
        <v>8467966945,</v>
      </c>
      <c r="C29" s="13">
        <v>45993</v>
      </c>
      <c r="D29" s="12"/>
      <c r="E29" s="12" t="s">
        <v>14</v>
      </c>
      <c r="F29" s="12" t="s">
        <v>15</v>
      </c>
      <c r="G29" s="12" t="s">
        <v>85</v>
      </c>
      <c r="H29" s="12" t="s">
        <v>86</v>
      </c>
      <c r="I29" s="5" t="s">
        <v>32</v>
      </c>
      <c r="J29" s="12">
        <v>0</v>
      </c>
      <c r="K29" s="12">
        <v>0</v>
      </c>
      <c r="L29" s="4">
        <v>0</v>
      </c>
      <c r="M29" s="12" t="s">
        <v>40</v>
      </c>
      <c r="N29" s="12" t="s">
        <v>64</v>
      </c>
    </row>
    <row r="30" spans="1:14" hidden="1">
      <c r="A30" s="12">
        <v>8467995745</v>
      </c>
      <c r="B30" s="12" t="str">
        <f t="shared" si="1"/>
        <v>8467995745,</v>
      </c>
      <c r="C30" s="13">
        <v>45993</v>
      </c>
      <c r="D30" s="12"/>
      <c r="E30" s="12" t="s">
        <v>14</v>
      </c>
      <c r="F30" s="12" t="s">
        <v>87</v>
      </c>
      <c r="G30" s="12" t="s">
        <v>88</v>
      </c>
      <c r="H30" s="12" t="s">
        <v>89</v>
      </c>
      <c r="I30" s="12" t="s">
        <v>90</v>
      </c>
      <c r="J30" s="12">
        <v>0</v>
      </c>
      <c r="K30" s="12">
        <v>0</v>
      </c>
      <c r="L30" s="4">
        <v>0</v>
      </c>
      <c r="M30" s="12" t="s">
        <v>40</v>
      </c>
      <c r="N30" s="12" t="s">
        <v>91</v>
      </c>
    </row>
    <row r="31" spans="1:14" hidden="1">
      <c r="A31" s="12">
        <v>3457337948</v>
      </c>
      <c r="B31" s="12" t="str">
        <f t="shared" si="1"/>
        <v>3457337948,</v>
      </c>
      <c r="C31" s="13">
        <v>45994</v>
      </c>
      <c r="D31" s="12"/>
      <c r="E31" s="12" t="s">
        <v>14</v>
      </c>
      <c r="F31" s="12" t="s">
        <v>15</v>
      </c>
      <c r="G31" s="12" t="s">
        <v>92</v>
      </c>
      <c r="H31" s="12" t="s">
        <v>93</v>
      </c>
      <c r="I31" s="12" t="s">
        <v>18</v>
      </c>
      <c r="J31" s="12">
        <v>0</v>
      </c>
      <c r="K31" s="12">
        <v>0</v>
      </c>
      <c r="L31" s="4">
        <v>0</v>
      </c>
      <c r="M31" s="12" t="s">
        <v>40</v>
      </c>
      <c r="N31" s="12" t="s">
        <v>91</v>
      </c>
    </row>
    <row r="32" spans="1:14" hidden="1">
      <c r="A32" s="12">
        <v>5475357348</v>
      </c>
      <c r="B32" s="12" t="str">
        <f t="shared" si="1"/>
        <v>5475357348,</v>
      </c>
      <c r="C32" s="13">
        <v>45993</v>
      </c>
      <c r="D32" s="12"/>
      <c r="E32" s="12" t="s">
        <v>14</v>
      </c>
      <c r="F32" s="12" t="s">
        <v>15</v>
      </c>
      <c r="G32" s="12" t="s">
        <v>94</v>
      </c>
      <c r="H32" s="12" t="s">
        <v>95</v>
      </c>
      <c r="I32" s="12" t="s">
        <v>18</v>
      </c>
      <c r="J32" s="12">
        <v>0</v>
      </c>
      <c r="K32" s="12">
        <v>0</v>
      </c>
      <c r="L32" s="4">
        <v>0</v>
      </c>
      <c r="M32" s="12" t="s">
        <v>40</v>
      </c>
      <c r="N32" s="12" t="s">
        <v>64</v>
      </c>
    </row>
    <row r="33" spans="1:14" hidden="1">
      <c r="A33" s="12">
        <v>5475377348</v>
      </c>
      <c r="B33" s="12" t="str">
        <f t="shared" si="1"/>
        <v>5475377348,</v>
      </c>
      <c r="C33" s="13">
        <v>45993</v>
      </c>
      <c r="D33" s="12"/>
      <c r="E33" s="12" t="s">
        <v>14</v>
      </c>
      <c r="F33" s="12" t="s">
        <v>15</v>
      </c>
      <c r="G33" s="12" t="s">
        <v>96</v>
      </c>
      <c r="H33" s="12" t="s">
        <v>97</v>
      </c>
      <c r="I33" s="12" t="s">
        <v>18</v>
      </c>
      <c r="J33" s="12">
        <v>0</v>
      </c>
      <c r="K33" s="12">
        <v>0</v>
      </c>
      <c r="L33" s="4">
        <v>0</v>
      </c>
      <c r="M33" s="12" t="s">
        <v>40</v>
      </c>
      <c r="N33" s="12" t="s">
        <v>91</v>
      </c>
    </row>
    <row r="34" spans="1:14" hidden="1">
      <c r="A34" s="12">
        <v>7486589545</v>
      </c>
      <c r="B34" s="12" t="str">
        <f t="shared" si="1"/>
        <v>7486589545,</v>
      </c>
      <c r="C34" s="13">
        <v>45993</v>
      </c>
      <c r="D34" s="12"/>
      <c r="E34" s="12" t="s">
        <v>14</v>
      </c>
      <c r="F34" s="12" t="s">
        <v>15</v>
      </c>
      <c r="G34" s="12" t="s">
        <v>98</v>
      </c>
      <c r="H34" s="12" t="s">
        <v>99</v>
      </c>
      <c r="I34" s="12" t="s">
        <v>18</v>
      </c>
      <c r="J34" s="12">
        <v>0</v>
      </c>
      <c r="K34" s="12">
        <v>0</v>
      </c>
      <c r="L34" s="4">
        <v>0</v>
      </c>
      <c r="M34" s="12" t="s">
        <v>40</v>
      </c>
      <c r="N34" s="12" t="s">
        <v>91</v>
      </c>
    </row>
    <row r="35" spans="1:14" hidden="1">
      <c r="A35" s="12">
        <v>7486983645</v>
      </c>
      <c r="B35" s="12" t="str">
        <f t="shared" si="1"/>
        <v>7486983645,</v>
      </c>
      <c r="C35" s="13">
        <v>45993</v>
      </c>
      <c r="D35" s="12"/>
      <c r="E35" s="12" t="s">
        <v>14</v>
      </c>
      <c r="F35" s="12" t="s">
        <v>15</v>
      </c>
      <c r="G35" s="12" t="s">
        <v>100</v>
      </c>
      <c r="H35" s="12" t="s">
        <v>101</v>
      </c>
      <c r="I35" s="12" t="s">
        <v>102</v>
      </c>
      <c r="J35" s="12">
        <v>0</v>
      </c>
      <c r="K35" s="12">
        <v>0</v>
      </c>
      <c r="L35" s="4">
        <v>0</v>
      </c>
      <c r="M35" s="12" t="s">
        <v>40</v>
      </c>
      <c r="N35" s="12" t="s">
        <v>103</v>
      </c>
    </row>
    <row r="36" spans="1:14" hidden="1">
      <c r="A36" s="12">
        <v>8467559845</v>
      </c>
      <c r="B36" s="12" t="str">
        <f t="shared" si="1"/>
        <v>8467559845,</v>
      </c>
      <c r="C36" s="13">
        <v>45994</v>
      </c>
      <c r="D36" s="12"/>
      <c r="E36" s="12" t="s">
        <v>14</v>
      </c>
      <c r="F36" s="12" t="s">
        <v>15</v>
      </c>
      <c r="G36" s="12" t="s">
        <v>104</v>
      </c>
      <c r="H36" s="12" t="s">
        <v>105</v>
      </c>
      <c r="I36" s="12" t="s">
        <v>102</v>
      </c>
      <c r="J36" s="12">
        <v>0</v>
      </c>
      <c r="K36" s="12">
        <v>0</v>
      </c>
      <c r="L36" s="4">
        <v>0</v>
      </c>
      <c r="M36" s="12" t="s">
        <v>40</v>
      </c>
      <c r="N36" s="12" t="s">
        <v>91</v>
      </c>
    </row>
    <row r="37" spans="1:14" hidden="1">
      <c r="A37" s="12">
        <v>3457558348</v>
      </c>
      <c r="B37" s="12" t="str">
        <f t="shared" si="1"/>
        <v>3457558348,</v>
      </c>
      <c r="C37" s="13">
        <v>45993</v>
      </c>
      <c r="D37" s="12"/>
      <c r="E37" s="12" t="s">
        <v>14</v>
      </c>
      <c r="F37" s="12" t="s">
        <v>15</v>
      </c>
      <c r="G37" s="12" t="s">
        <v>106</v>
      </c>
      <c r="H37" s="12" t="s">
        <v>107</v>
      </c>
      <c r="I37" s="12" t="s">
        <v>54</v>
      </c>
      <c r="J37" s="12">
        <v>0</v>
      </c>
      <c r="K37" s="12">
        <v>0</v>
      </c>
      <c r="L37" s="4">
        <v>0</v>
      </c>
      <c r="M37" s="12" t="s">
        <v>40</v>
      </c>
      <c r="N37" s="12" t="s">
        <v>103</v>
      </c>
    </row>
    <row r="38" spans="1:14" hidden="1">
      <c r="A38" s="12">
        <v>8467585745</v>
      </c>
      <c r="B38" s="12" t="str">
        <f t="shared" si="1"/>
        <v>8467585745,</v>
      </c>
      <c r="C38" s="13">
        <v>45997</v>
      </c>
      <c r="D38" s="12"/>
      <c r="E38" s="12" t="s">
        <v>14</v>
      </c>
      <c r="F38" s="12" t="s">
        <v>15</v>
      </c>
      <c r="G38" s="12" t="s">
        <v>108</v>
      </c>
      <c r="H38" s="12" t="s">
        <v>109</v>
      </c>
      <c r="I38" s="12" t="s">
        <v>54</v>
      </c>
      <c r="J38" s="12">
        <v>0</v>
      </c>
      <c r="K38" s="12">
        <v>0</v>
      </c>
      <c r="L38" s="4">
        <v>0</v>
      </c>
      <c r="M38" s="12" t="s">
        <v>40</v>
      </c>
      <c r="N38" s="12" t="s">
        <v>64</v>
      </c>
    </row>
    <row r="39" spans="1:14" hidden="1">
      <c r="A39" s="12">
        <v>3433787745</v>
      </c>
      <c r="B39" s="12" t="str">
        <f t="shared" si="1"/>
        <v>3433787745,</v>
      </c>
      <c r="C39" s="13">
        <v>45994</v>
      </c>
      <c r="D39" s="12"/>
      <c r="E39" s="12" t="s">
        <v>14</v>
      </c>
      <c r="F39" s="12" t="s">
        <v>15</v>
      </c>
      <c r="G39" s="12" t="s">
        <v>110</v>
      </c>
      <c r="H39" s="12" t="s">
        <v>111</v>
      </c>
      <c r="I39" s="12" t="s">
        <v>23</v>
      </c>
      <c r="J39" s="12">
        <v>0</v>
      </c>
      <c r="K39" s="12">
        <v>0</v>
      </c>
      <c r="L39" s="4">
        <v>0</v>
      </c>
      <c r="M39" s="12" t="s">
        <v>40</v>
      </c>
      <c r="N39" s="12" t="s">
        <v>103</v>
      </c>
    </row>
    <row r="40" spans="1:14" hidden="1">
      <c r="A40" s="12">
        <v>5475399948</v>
      </c>
      <c r="B40" s="12" t="str">
        <f t="shared" si="1"/>
        <v>5475399948,</v>
      </c>
      <c r="C40" s="13">
        <v>45993</v>
      </c>
      <c r="D40" s="12"/>
      <c r="E40" s="12" t="s">
        <v>14</v>
      </c>
      <c r="F40" s="12" t="s">
        <v>15</v>
      </c>
      <c r="G40" s="12" t="s">
        <v>112</v>
      </c>
      <c r="H40" s="12" t="s">
        <v>113</v>
      </c>
      <c r="I40" s="12" t="s">
        <v>23</v>
      </c>
      <c r="J40" s="12">
        <v>0</v>
      </c>
      <c r="K40" s="12">
        <v>0</v>
      </c>
      <c r="L40" s="4">
        <v>0</v>
      </c>
      <c r="M40" s="12" t="s">
        <v>40</v>
      </c>
      <c r="N40" s="12" t="s">
        <v>64</v>
      </c>
    </row>
    <row r="41" spans="1:14" hidden="1">
      <c r="A41" s="12">
        <v>8465367845</v>
      </c>
      <c r="B41" s="12" t="str">
        <f t="shared" si="1"/>
        <v>8465367845,</v>
      </c>
      <c r="C41" s="13">
        <v>45991</v>
      </c>
      <c r="D41" s="12"/>
      <c r="E41" s="12" t="s">
        <v>14</v>
      </c>
      <c r="F41" s="12" t="s">
        <v>15</v>
      </c>
      <c r="G41" s="12" t="s">
        <v>114</v>
      </c>
      <c r="H41" s="12" t="s">
        <v>115</v>
      </c>
      <c r="I41" s="12" t="s">
        <v>23</v>
      </c>
      <c r="J41" s="12">
        <v>0</v>
      </c>
      <c r="K41" s="12">
        <v>0</v>
      </c>
      <c r="L41" s="4">
        <v>0</v>
      </c>
      <c r="M41" s="12" t="s">
        <v>40</v>
      </c>
      <c r="N41" s="12" t="s">
        <v>103</v>
      </c>
    </row>
    <row r="42" spans="1:14" hidden="1">
      <c r="A42" s="12">
        <v>3493989847</v>
      </c>
      <c r="B42" s="12" t="str">
        <f t="shared" si="1"/>
        <v>3493989847,</v>
      </c>
      <c r="C42" s="13">
        <v>45994</v>
      </c>
      <c r="D42" s="12"/>
      <c r="E42" s="12" t="s">
        <v>14</v>
      </c>
      <c r="F42" s="12" t="s">
        <v>15</v>
      </c>
      <c r="G42" s="12" t="s">
        <v>116</v>
      </c>
      <c r="H42" s="12" t="s">
        <v>117</v>
      </c>
      <c r="I42" s="12" t="s">
        <v>118</v>
      </c>
      <c r="J42" s="12">
        <v>0</v>
      </c>
      <c r="K42" s="12">
        <v>0</v>
      </c>
      <c r="L42" s="4">
        <v>0</v>
      </c>
      <c r="M42" s="12" t="s">
        <v>40</v>
      </c>
      <c r="N42" s="12" t="s">
        <v>64</v>
      </c>
    </row>
    <row r="43" spans="1:14" hidden="1">
      <c r="A43" s="12">
        <v>7486985645</v>
      </c>
      <c r="B43" s="12" t="str">
        <f t="shared" si="1"/>
        <v>7486985645,</v>
      </c>
      <c r="C43" s="13">
        <v>45994</v>
      </c>
      <c r="D43" s="12"/>
      <c r="E43" s="12" t="s">
        <v>14</v>
      </c>
      <c r="F43" s="12" t="s">
        <v>15</v>
      </c>
      <c r="G43" s="12" t="s">
        <v>119</v>
      </c>
      <c r="H43" s="12" t="s">
        <v>120</v>
      </c>
      <c r="I43" s="12" t="s">
        <v>118</v>
      </c>
      <c r="J43" s="12">
        <v>0</v>
      </c>
      <c r="K43" s="12">
        <v>0</v>
      </c>
      <c r="L43" s="4">
        <v>0</v>
      </c>
      <c r="M43" s="12" t="s">
        <v>40</v>
      </c>
      <c r="N43" s="12" t="s">
        <v>103</v>
      </c>
    </row>
    <row r="44" spans="1:14" hidden="1">
      <c r="A44" s="12">
        <v>7486973645</v>
      </c>
      <c r="B44" s="12" t="str">
        <f t="shared" si="1"/>
        <v>7486973645,</v>
      </c>
      <c r="C44" s="13">
        <v>45990</v>
      </c>
      <c r="D44" s="12"/>
      <c r="E44" s="12" t="s">
        <v>14</v>
      </c>
      <c r="F44" s="12" t="s">
        <v>87</v>
      </c>
      <c r="G44" s="12" t="s">
        <v>121</v>
      </c>
      <c r="H44" s="12" t="s">
        <v>122</v>
      </c>
      <c r="I44" s="12" t="s">
        <v>123</v>
      </c>
      <c r="J44" s="12">
        <v>0</v>
      </c>
      <c r="K44" s="12">
        <v>0</v>
      </c>
      <c r="L44" s="4">
        <v>0</v>
      </c>
      <c r="M44" s="12" t="s">
        <v>40</v>
      </c>
      <c r="N44" s="12" t="s">
        <v>67</v>
      </c>
    </row>
    <row r="45" spans="1:14" hidden="1">
      <c r="A45" s="12">
        <v>7488775545</v>
      </c>
      <c r="B45" s="12" t="str">
        <f t="shared" si="1"/>
        <v>7488775545,</v>
      </c>
      <c r="C45" s="13">
        <v>45993</v>
      </c>
      <c r="D45" s="12"/>
      <c r="E45" s="12" t="s">
        <v>14</v>
      </c>
      <c r="F45" s="12" t="s">
        <v>87</v>
      </c>
      <c r="G45" s="12" t="s">
        <v>124</v>
      </c>
      <c r="H45" s="12" t="s">
        <v>125</v>
      </c>
      <c r="I45" s="12" t="s">
        <v>123</v>
      </c>
      <c r="J45" s="12">
        <v>0</v>
      </c>
      <c r="K45" s="12">
        <v>0</v>
      </c>
      <c r="L45" s="4">
        <v>0</v>
      </c>
      <c r="M45" s="12" t="s">
        <v>40</v>
      </c>
      <c r="N45" s="12" t="s">
        <v>103</v>
      </c>
    </row>
    <row r="46" spans="1:14" hidden="1">
      <c r="A46" s="12">
        <v>3437983945</v>
      </c>
      <c r="B46" s="12" t="str">
        <f t="shared" si="1"/>
        <v>3437983945,</v>
      </c>
      <c r="C46" s="13">
        <v>45990</v>
      </c>
      <c r="D46" s="12"/>
      <c r="E46" s="12" t="s">
        <v>14</v>
      </c>
      <c r="F46" s="12" t="s">
        <v>58</v>
      </c>
      <c r="G46" s="12" t="s">
        <v>126</v>
      </c>
      <c r="H46" s="12" t="s">
        <v>127</v>
      </c>
      <c r="I46" s="12" t="s">
        <v>128</v>
      </c>
      <c r="J46" s="12">
        <v>0</v>
      </c>
      <c r="K46" s="12">
        <v>0</v>
      </c>
      <c r="L46" s="4">
        <v>0</v>
      </c>
      <c r="M46" s="12" t="s">
        <v>40</v>
      </c>
      <c r="N46" s="12" t="s">
        <v>67</v>
      </c>
    </row>
    <row r="47" spans="1:14">
      <c r="A47" s="12">
        <v>3437998745</v>
      </c>
      <c r="B47" s="12" t="str">
        <f t="shared" si="1"/>
        <v>3437998745,</v>
      </c>
      <c r="C47" s="13">
        <v>45993</v>
      </c>
      <c r="D47" s="12">
        <v>1</v>
      </c>
      <c r="E47" s="12" t="s">
        <v>14</v>
      </c>
      <c r="F47" s="12" t="s">
        <v>15</v>
      </c>
      <c r="G47" s="12" t="s">
        <v>129</v>
      </c>
      <c r="H47" s="12" t="s">
        <v>130</v>
      </c>
      <c r="I47" s="12" t="s">
        <v>18</v>
      </c>
      <c r="J47" s="12">
        <v>1280</v>
      </c>
      <c r="K47" s="14">
        <v>50</v>
      </c>
      <c r="L47" s="4">
        <v>1230</v>
      </c>
      <c r="M47" s="12" t="s">
        <v>19</v>
      </c>
      <c r="N47" s="12" t="s">
        <v>20</v>
      </c>
    </row>
    <row r="48" spans="1:14">
      <c r="A48" s="12">
        <v>3493896647</v>
      </c>
      <c r="B48" s="12" t="str">
        <f t="shared" si="1"/>
        <v>3493896647,</v>
      </c>
      <c r="C48" s="13">
        <v>45993</v>
      </c>
      <c r="D48" s="12">
        <v>1</v>
      </c>
      <c r="E48" s="12" t="s">
        <v>14</v>
      </c>
      <c r="F48" s="12" t="s">
        <v>15</v>
      </c>
      <c r="G48" s="12" t="s">
        <v>131</v>
      </c>
      <c r="H48" s="12" t="s">
        <v>132</v>
      </c>
      <c r="I48" s="12" t="s">
        <v>18</v>
      </c>
      <c r="J48" s="12">
        <v>660</v>
      </c>
      <c r="K48" s="14">
        <v>50</v>
      </c>
      <c r="L48" s="4">
        <v>610</v>
      </c>
      <c r="M48" s="12" t="s">
        <v>19</v>
      </c>
      <c r="N48" s="12" t="s">
        <v>20</v>
      </c>
    </row>
    <row r="49" spans="1:14">
      <c r="A49" s="12">
        <v>3499778847</v>
      </c>
      <c r="B49" s="12" t="str">
        <f t="shared" si="1"/>
        <v>3499778847,</v>
      </c>
      <c r="C49" s="13">
        <v>45993</v>
      </c>
      <c r="D49" s="12">
        <v>1</v>
      </c>
      <c r="E49" s="12" t="s">
        <v>14</v>
      </c>
      <c r="F49" s="12" t="s">
        <v>15</v>
      </c>
      <c r="G49" s="12" t="s">
        <v>133</v>
      </c>
      <c r="H49" s="12" t="s">
        <v>134</v>
      </c>
      <c r="I49" s="12" t="s">
        <v>18</v>
      </c>
      <c r="J49" s="12">
        <v>60</v>
      </c>
      <c r="K49" s="14">
        <v>50</v>
      </c>
      <c r="L49" s="4">
        <v>10</v>
      </c>
      <c r="M49" s="12" t="s">
        <v>19</v>
      </c>
      <c r="N49" s="12" t="s">
        <v>20</v>
      </c>
    </row>
    <row r="50" spans="1:14">
      <c r="A50" s="12">
        <v>7486933945</v>
      </c>
      <c r="B50" s="12" t="str">
        <f t="shared" si="1"/>
        <v>7486933945,</v>
      </c>
      <c r="C50" s="13">
        <v>45993</v>
      </c>
      <c r="D50" s="12">
        <v>1</v>
      </c>
      <c r="E50" s="12" t="s">
        <v>14</v>
      </c>
      <c r="F50" s="12" t="s">
        <v>15</v>
      </c>
      <c r="G50" s="12" t="s">
        <v>135</v>
      </c>
      <c r="H50" s="12" t="s">
        <v>136</v>
      </c>
      <c r="I50" s="12" t="s">
        <v>18</v>
      </c>
      <c r="J50" s="12">
        <v>650</v>
      </c>
      <c r="K50" s="14">
        <v>50</v>
      </c>
      <c r="L50" s="4">
        <v>600</v>
      </c>
      <c r="M50" s="12" t="s">
        <v>19</v>
      </c>
      <c r="N50" s="12" t="s">
        <v>20</v>
      </c>
    </row>
    <row r="51" spans="1:14">
      <c r="A51" s="12">
        <v>7488678945</v>
      </c>
      <c r="B51" s="12" t="str">
        <f t="shared" si="1"/>
        <v>7488678945,</v>
      </c>
      <c r="C51" s="13">
        <v>45994</v>
      </c>
      <c r="D51" s="12">
        <v>1</v>
      </c>
      <c r="E51" s="12" t="s">
        <v>14</v>
      </c>
      <c r="F51" s="12" t="s">
        <v>15</v>
      </c>
      <c r="G51" s="12" t="s">
        <v>137</v>
      </c>
      <c r="H51" s="12" t="s">
        <v>138</v>
      </c>
      <c r="I51" s="12" t="s">
        <v>18</v>
      </c>
      <c r="J51" s="12">
        <v>650</v>
      </c>
      <c r="K51" s="14">
        <v>50</v>
      </c>
      <c r="L51" s="4">
        <v>600</v>
      </c>
      <c r="M51" s="12" t="s">
        <v>19</v>
      </c>
      <c r="N51" s="12" t="s">
        <v>20</v>
      </c>
    </row>
    <row r="52" spans="1:14">
      <c r="A52" s="12">
        <v>7488799945</v>
      </c>
      <c r="B52" s="12" t="str">
        <f t="shared" si="1"/>
        <v>7488799945,</v>
      </c>
      <c r="C52" s="13">
        <v>45994</v>
      </c>
      <c r="D52" s="12">
        <v>1</v>
      </c>
      <c r="E52" s="12" t="s">
        <v>14</v>
      </c>
      <c r="F52" s="12" t="s">
        <v>15</v>
      </c>
      <c r="G52" s="12" t="s">
        <v>139</v>
      </c>
      <c r="H52" s="12" t="s">
        <v>140</v>
      </c>
      <c r="I52" s="12" t="s">
        <v>18</v>
      </c>
      <c r="J52" s="12">
        <v>750</v>
      </c>
      <c r="K52" s="14">
        <v>50</v>
      </c>
      <c r="L52" s="4">
        <v>700</v>
      </c>
      <c r="M52" s="12" t="s">
        <v>19</v>
      </c>
      <c r="N52" s="12" t="s">
        <v>20</v>
      </c>
    </row>
    <row r="53" spans="1:14">
      <c r="A53" s="12">
        <v>3433896645</v>
      </c>
      <c r="B53" s="12" t="str">
        <f t="shared" si="1"/>
        <v>3433896645,</v>
      </c>
      <c r="C53" s="13">
        <v>45995</v>
      </c>
      <c r="D53" s="12">
        <v>1</v>
      </c>
      <c r="E53" s="12" t="s">
        <v>14</v>
      </c>
      <c r="F53" s="12" t="s">
        <v>15</v>
      </c>
      <c r="G53" s="12" t="s">
        <v>141</v>
      </c>
      <c r="H53" s="12" t="s">
        <v>142</v>
      </c>
      <c r="I53" s="12" t="s">
        <v>18</v>
      </c>
      <c r="J53" s="12">
        <v>650</v>
      </c>
      <c r="K53" s="14">
        <v>50</v>
      </c>
      <c r="L53" s="4">
        <v>600</v>
      </c>
      <c r="M53" s="12" t="s">
        <v>19</v>
      </c>
      <c r="N53" s="12" t="s">
        <v>20</v>
      </c>
    </row>
    <row r="54" spans="1:14" hidden="1">
      <c r="A54" s="12">
        <v>7488653545</v>
      </c>
      <c r="B54" s="12" t="str">
        <f t="shared" si="1"/>
        <v>7488653545,</v>
      </c>
      <c r="C54" s="13">
        <v>45995</v>
      </c>
      <c r="D54" s="12">
        <v>1</v>
      </c>
      <c r="E54" s="12" t="s">
        <v>14</v>
      </c>
      <c r="F54" s="12" t="s">
        <v>15</v>
      </c>
      <c r="G54" s="12" t="s">
        <v>143</v>
      </c>
      <c r="H54" s="12" t="s">
        <v>144</v>
      </c>
      <c r="I54" s="12" t="s">
        <v>18</v>
      </c>
      <c r="J54" s="12">
        <v>0</v>
      </c>
      <c r="K54" s="14">
        <v>50</v>
      </c>
      <c r="L54" s="4">
        <v>-50</v>
      </c>
      <c r="M54" s="12" t="s">
        <v>40</v>
      </c>
      <c r="N54" s="12" t="s">
        <v>145</v>
      </c>
    </row>
    <row r="55" spans="1:14" hidden="1">
      <c r="A55" s="12">
        <v>8467539745</v>
      </c>
      <c r="B55" s="12" t="str">
        <f t="shared" si="1"/>
        <v>8467539745,</v>
      </c>
      <c r="C55" s="13">
        <v>45995</v>
      </c>
      <c r="D55" s="12">
        <v>1</v>
      </c>
      <c r="E55" s="12" t="s">
        <v>14</v>
      </c>
      <c r="F55" s="12" t="s">
        <v>15</v>
      </c>
      <c r="G55" s="12" t="s">
        <v>146</v>
      </c>
      <c r="H55" s="12" t="s">
        <v>147</v>
      </c>
      <c r="I55" s="12" t="s">
        <v>18</v>
      </c>
      <c r="J55" s="12">
        <v>30</v>
      </c>
      <c r="K55" s="12">
        <v>30</v>
      </c>
      <c r="L55" s="4">
        <v>0</v>
      </c>
      <c r="M55" s="12" t="s">
        <v>40</v>
      </c>
      <c r="N55" s="12" t="s">
        <v>41</v>
      </c>
    </row>
    <row r="56" spans="1:14" hidden="1">
      <c r="A56" s="12">
        <v>8467567745</v>
      </c>
      <c r="B56" s="12" t="str">
        <f t="shared" si="1"/>
        <v>8467567745,</v>
      </c>
      <c r="C56" s="13">
        <v>45995</v>
      </c>
      <c r="D56" s="12">
        <v>1</v>
      </c>
      <c r="E56" s="12" t="s">
        <v>14</v>
      </c>
      <c r="F56" s="12" t="s">
        <v>15</v>
      </c>
      <c r="G56" s="12" t="s">
        <v>148</v>
      </c>
      <c r="H56" s="12" t="s">
        <v>149</v>
      </c>
      <c r="I56" s="12" t="s">
        <v>18</v>
      </c>
      <c r="J56" s="12">
        <v>30</v>
      </c>
      <c r="K56" s="12">
        <v>30</v>
      </c>
      <c r="L56" s="4">
        <v>0</v>
      </c>
      <c r="M56" s="12" t="s">
        <v>40</v>
      </c>
      <c r="N56" s="12" t="s">
        <v>41</v>
      </c>
    </row>
    <row r="57" spans="1:14">
      <c r="A57" s="12">
        <v>8467569745</v>
      </c>
      <c r="B57" s="12" t="str">
        <f t="shared" si="1"/>
        <v>8467569745,</v>
      </c>
      <c r="C57" s="13">
        <v>45995</v>
      </c>
      <c r="D57" s="12">
        <v>1</v>
      </c>
      <c r="E57" s="12" t="s">
        <v>14</v>
      </c>
      <c r="F57" s="12" t="s">
        <v>15</v>
      </c>
      <c r="G57" s="12" t="s">
        <v>150</v>
      </c>
      <c r="H57" s="12" t="s">
        <v>151</v>
      </c>
      <c r="I57" s="12" t="s">
        <v>18</v>
      </c>
      <c r="J57" s="12">
        <v>50</v>
      </c>
      <c r="K57" s="14">
        <v>50</v>
      </c>
      <c r="L57" s="4">
        <v>0</v>
      </c>
      <c r="M57" s="12" t="s">
        <v>19</v>
      </c>
      <c r="N57" s="12" t="s">
        <v>20</v>
      </c>
    </row>
    <row r="58" spans="1:14">
      <c r="A58" s="12">
        <v>3493966647</v>
      </c>
      <c r="B58" s="12" t="str">
        <f t="shared" si="1"/>
        <v>3493966647,</v>
      </c>
      <c r="C58" s="13">
        <v>45997</v>
      </c>
      <c r="D58" s="12">
        <v>1</v>
      </c>
      <c r="E58" s="12" t="s">
        <v>14</v>
      </c>
      <c r="F58" s="12" t="s">
        <v>15</v>
      </c>
      <c r="G58" s="12" t="s">
        <v>152</v>
      </c>
      <c r="H58" s="12" t="s">
        <v>153</v>
      </c>
      <c r="I58" s="12" t="s">
        <v>18</v>
      </c>
      <c r="J58" s="12">
        <v>850</v>
      </c>
      <c r="K58" s="14">
        <v>50</v>
      </c>
      <c r="L58" s="4">
        <v>800</v>
      </c>
      <c r="M58" s="12" t="s">
        <v>19</v>
      </c>
      <c r="N58" s="12" t="s">
        <v>20</v>
      </c>
    </row>
    <row r="59" spans="1:14" hidden="1">
      <c r="A59" s="12">
        <v>5475535948</v>
      </c>
      <c r="B59" s="12" t="str">
        <f t="shared" si="1"/>
        <v>5475535948,</v>
      </c>
      <c r="C59" s="13">
        <v>45997</v>
      </c>
      <c r="D59" s="12">
        <v>1</v>
      </c>
      <c r="E59" s="12" t="s">
        <v>14</v>
      </c>
      <c r="F59" s="12" t="s">
        <v>15</v>
      </c>
      <c r="G59" s="12" t="s">
        <v>154</v>
      </c>
      <c r="H59" s="12" t="s">
        <v>155</v>
      </c>
      <c r="I59" s="12" t="s">
        <v>18</v>
      </c>
      <c r="J59" s="12">
        <v>25</v>
      </c>
      <c r="K59" s="12">
        <v>25</v>
      </c>
      <c r="L59" s="4">
        <v>0</v>
      </c>
      <c r="M59" s="12" t="s">
        <v>40</v>
      </c>
      <c r="N59" s="12" t="s">
        <v>41</v>
      </c>
    </row>
    <row r="60" spans="1:14">
      <c r="A60" s="12">
        <v>5475579948</v>
      </c>
      <c r="B60" s="12" t="str">
        <f t="shared" si="1"/>
        <v>5475579948,</v>
      </c>
      <c r="C60" s="13">
        <v>45997</v>
      </c>
      <c r="D60" s="12">
        <v>1</v>
      </c>
      <c r="E60" s="12" t="s">
        <v>14</v>
      </c>
      <c r="F60" s="12" t="s">
        <v>15</v>
      </c>
      <c r="G60" s="12" t="s">
        <v>156</v>
      </c>
      <c r="H60" s="12" t="s">
        <v>157</v>
      </c>
      <c r="I60" s="12" t="s">
        <v>18</v>
      </c>
      <c r="J60" s="12">
        <v>650</v>
      </c>
      <c r="K60" s="14">
        <v>50</v>
      </c>
      <c r="L60" s="4">
        <v>600</v>
      </c>
      <c r="M60" s="12" t="s">
        <v>19</v>
      </c>
      <c r="N60" s="12" t="s">
        <v>20</v>
      </c>
    </row>
    <row r="61" spans="1:14">
      <c r="A61" s="12">
        <v>8467793945</v>
      </c>
      <c r="B61" s="12" t="str">
        <f t="shared" si="1"/>
        <v>8467793945,</v>
      </c>
      <c r="C61" s="13">
        <v>45997</v>
      </c>
      <c r="D61" s="12">
        <v>1</v>
      </c>
      <c r="E61" s="12" t="s">
        <v>14</v>
      </c>
      <c r="F61" s="12" t="s">
        <v>15</v>
      </c>
      <c r="G61" s="12" t="s">
        <v>158</v>
      </c>
      <c r="H61" s="12" t="s">
        <v>159</v>
      </c>
      <c r="I61" s="12" t="s">
        <v>18</v>
      </c>
      <c r="J61" s="12">
        <v>90</v>
      </c>
      <c r="K61" s="14">
        <v>50</v>
      </c>
      <c r="L61" s="4">
        <v>40</v>
      </c>
      <c r="M61" s="12" t="s">
        <v>19</v>
      </c>
      <c r="N61" s="12" t="s">
        <v>20</v>
      </c>
    </row>
    <row r="62" spans="1:14">
      <c r="A62" s="12">
        <v>5475396948</v>
      </c>
      <c r="B62" s="12" t="str">
        <f t="shared" si="1"/>
        <v>5475396948,</v>
      </c>
      <c r="C62" s="13">
        <v>45993</v>
      </c>
      <c r="D62" s="12">
        <v>1</v>
      </c>
      <c r="E62" s="12" t="s">
        <v>14</v>
      </c>
      <c r="F62" s="12" t="s">
        <v>15</v>
      </c>
      <c r="G62" s="12" t="s">
        <v>160</v>
      </c>
      <c r="H62" s="12" t="s">
        <v>161</v>
      </c>
      <c r="I62" s="12" t="s">
        <v>32</v>
      </c>
      <c r="J62" s="12">
        <v>850</v>
      </c>
      <c r="K62" s="14">
        <v>50</v>
      </c>
      <c r="L62" s="4">
        <v>800</v>
      </c>
      <c r="M62" s="12" t="s">
        <v>19</v>
      </c>
      <c r="N62" s="12" t="s">
        <v>20</v>
      </c>
    </row>
    <row r="63" spans="1:14">
      <c r="A63" s="12">
        <v>5475763348</v>
      </c>
      <c r="B63" s="12" t="str">
        <f t="shared" si="1"/>
        <v>5475763348,</v>
      </c>
      <c r="C63" s="13">
        <v>45997</v>
      </c>
      <c r="D63" s="12">
        <v>1</v>
      </c>
      <c r="E63" s="12" t="s">
        <v>14</v>
      </c>
      <c r="F63" s="12" t="s">
        <v>15</v>
      </c>
      <c r="G63" s="12" t="s">
        <v>162</v>
      </c>
      <c r="H63" s="12" t="s">
        <v>163</v>
      </c>
      <c r="I63" s="12" t="s">
        <v>32</v>
      </c>
      <c r="J63" s="12">
        <v>650</v>
      </c>
      <c r="K63" s="14">
        <v>50</v>
      </c>
      <c r="L63" s="4">
        <v>600</v>
      </c>
      <c r="M63" s="12" t="s">
        <v>19</v>
      </c>
      <c r="N63" s="12" t="s">
        <v>20</v>
      </c>
    </row>
    <row r="64" spans="1:14">
      <c r="A64" s="12">
        <v>3493876347</v>
      </c>
      <c r="B64" s="12" t="str">
        <f t="shared" si="1"/>
        <v>3493876347,</v>
      </c>
      <c r="C64" s="13">
        <v>45995</v>
      </c>
      <c r="D64" s="12">
        <v>1</v>
      </c>
      <c r="E64" s="12" t="s">
        <v>14</v>
      </c>
      <c r="F64" s="12" t="s">
        <v>15</v>
      </c>
      <c r="G64" s="12" t="s">
        <v>164</v>
      </c>
      <c r="H64" s="12" t="s">
        <v>165</v>
      </c>
      <c r="I64" s="12" t="s">
        <v>23</v>
      </c>
      <c r="J64" s="12">
        <v>650</v>
      </c>
      <c r="K64" s="14">
        <v>50</v>
      </c>
      <c r="L64" s="4">
        <v>600</v>
      </c>
      <c r="M64" s="12" t="s">
        <v>24</v>
      </c>
      <c r="N64" s="12" t="s">
        <v>20</v>
      </c>
    </row>
    <row r="65" spans="1:15">
      <c r="A65" s="12">
        <v>7488666945</v>
      </c>
      <c r="B65" s="12" t="str">
        <f t="shared" si="1"/>
        <v>7488666945,</v>
      </c>
      <c r="C65" s="13">
        <v>45994</v>
      </c>
      <c r="D65" s="12">
        <v>1</v>
      </c>
      <c r="E65" s="12" t="s">
        <v>14</v>
      </c>
      <c r="F65" s="12" t="s">
        <v>15</v>
      </c>
      <c r="G65" s="12" t="s">
        <v>166</v>
      </c>
      <c r="H65" s="12" t="s">
        <v>167</v>
      </c>
      <c r="I65" s="12" t="s">
        <v>23</v>
      </c>
      <c r="J65" s="12">
        <v>650</v>
      </c>
      <c r="K65" s="14">
        <v>50</v>
      </c>
      <c r="L65" s="4">
        <v>600</v>
      </c>
      <c r="M65" s="12" t="s">
        <v>24</v>
      </c>
      <c r="N65" s="12" t="s">
        <v>20</v>
      </c>
    </row>
    <row r="66" spans="1:15">
      <c r="A66" s="19">
        <v>8467568745</v>
      </c>
      <c r="B66" s="19"/>
      <c r="C66" s="20">
        <v>45995</v>
      </c>
      <c r="D66" s="19">
        <v>1</v>
      </c>
      <c r="E66" s="19" t="s">
        <v>14</v>
      </c>
      <c r="F66" s="19" t="s">
        <v>15</v>
      </c>
      <c r="G66" s="19" t="s">
        <v>168</v>
      </c>
      <c r="H66" s="19" t="s">
        <v>169</v>
      </c>
      <c r="I66" s="19" t="s">
        <v>23</v>
      </c>
      <c r="J66" s="19">
        <v>350</v>
      </c>
      <c r="K66" s="21">
        <v>50</v>
      </c>
      <c r="L66" s="22">
        <v>300</v>
      </c>
      <c r="M66" s="19" t="s">
        <v>24</v>
      </c>
      <c r="N66" s="19" t="s">
        <v>170</v>
      </c>
      <c r="O66" t="s">
        <v>193</v>
      </c>
    </row>
    <row r="67" spans="1:15">
      <c r="A67" s="12">
        <v>3493958647</v>
      </c>
      <c r="B67" s="12" t="str">
        <f t="shared" si="1"/>
        <v>3493958647,</v>
      </c>
      <c r="C67" s="13">
        <v>45995</v>
      </c>
      <c r="D67" s="12">
        <v>1</v>
      </c>
      <c r="E67" s="12" t="s">
        <v>14</v>
      </c>
      <c r="F67" s="12" t="s">
        <v>58</v>
      </c>
      <c r="G67" s="12" t="s">
        <v>171</v>
      </c>
      <c r="H67" s="12" t="s">
        <v>172</v>
      </c>
      <c r="I67" s="12" t="s">
        <v>173</v>
      </c>
      <c r="J67" s="12">
        <v>700</v>
      </c>
      <c r="K67" s="14">
        <v>63</v>
      </c>
      <c r="L67" s="4">
        <v>637</v>
      </c>
      <c r="M67" s="12" t="s">
        <v>19</v>
      </c>
      <c r="N67" s="12" t="s">
        <v>20</v>
      </c>
    </row>
    <row r="68" spans="1:15">
      <c r="A68" s="12">
        <v>5475336348</v>
      </c>
      <c r="B68" s="12" t="str">
        <f t="shared" si="1"/>
        <v>5475336348,</v>
      </c>
      <c r="C68" s="13">
        <v>45993</v>
      </c>
      <c r="D68" s="12">
        <v>1</v>
      </c>
      <c r="E68" s="12" t="s">
        <v>14</v>
      </c>
      <c r="F68" s="12" t="s">
        <v>87</v>
      </c>
      <c r="G68" s="12" t="s">
        <v>174</v>
      </c>
      <c r="H68" s="12" t="s">
        <v>175</v>
      </c>
      <c r="I68" s="12" t="s">
        <v>176</v>
      </c>
      <c r="J68" s="12">
        <v>660</v>
      </c>
      <c r="K68" s="14">
        <v>57</v>
      </c>
      <c r="L68" s="4">
        <v>603</v>
      </c>
      <c r="M68" s="12" t="s">
        <v>19</v>
      </c>
      <c r="N68" s="12" t="s">
        <v>20</v>
      </c>
    </row>
    <row r="69" spans="1:15" hidden="1">
      <c r="A69" s="12" t="s">
        <v>177</v>
      </c>
      <c r="B69" s="12"/>
      <c r="C69" s="13">
        <v>45990</v>
      </c>
      <c r="D69" s="12">
        <v>1</v>
      </c>
      <c r="E69" s="12" t="s">
        <v>14</v>
      </c>
      <c r="F69" s="12" t="s">
        <v>87</v>
      </c>
      <c r="G69" s="12" t="s">
        <v>178</v>
      </c>
      <c r="H69" s="12" t="s">
        <v>179</v>
      </c>
      <c r="I69" s="12" t="s">
        <v>180</v>
      </c>
      <c r="J69" s="12">
        <v>0</v>
      </c>
      <c r="K69" s="14">
        <v>57</v>
      </c>
      <c r="L69" s="4">
        <v>-57</v>
      </c>
      <c r="M69" s="12" t="s">
        <v>19</v>
      </c>
      <c r="N69" s="12" t="s">
        <v>181</v>
      </c>
    </row>
    <row r="70" spans="1:15">
      <c r="A70" s="12">
        <v>3493897647</v>
      </c>
      <c r="B70" s="12" t="str">
        <f t="shared" ref="B70:B71" si="2">CONCATENATE(A70,",")</f>
        <v>3493897647,</v>
      </c>
      <c r="C70" s="13">
        <v>45994</v>
      </c>
      <c r="D70" s="12">
        <v>1</v>
      </c>
      <c r="E70" s="12" t="s">
        <v>14</v>
      </c>
      <c r="F70" s="12" t="s">
        <v>15</v>
      </c>
      <c r="G70" s="12" t="s">
        <v>182</v>
      </c>
      <c r="H70" s="12" t="s">
        <v>183</v>
      </c>
      <c r="I70" s="12" t="s">
        <v>54</v>
      </c>
      <c r="J70" s="12">
        <v>850</v>
      </c>
      <c r="K70" s="14">
        <v>50</v>
      </c>
      <c r="L70" s="4">
        <v>800</v>
      </c>
      <c r="M70" s="12" t="s">
        <v>19</v>
      </c>
      <c r="N70" s="12" t="s">
        <v>20</v>
      </c>
    </row>
    <row r="71" spans="1:15">
      <c r="A71" s="12">
        <v>5475767348</v>
      </c>
      <c r="B71" s="12" t="str">
        <f t="shared" si="2"/>
        <v>5475767348,</v>
      </c>
      <c r="C71" s="13">
        <v>45997</v>
      </c>
      <c r="D71" s="12">
        <v>1</v>
      </c>
      <c r="E71" s="12" t="s">
        <v>14</v>
      </c>
      <c r="F71" s="12" t="s">
        <v>15</v>
      </c>
      <c r="G71" s="12" t="s">
        <v>184</v>
      </c>
      <c r="H71" s="12" t="s">
        <v>185</v>
      </c>
      <c r="I71" s="12" t="s">
        <v>54</v>
      </c>
      <c r="J71" s="12">
        <v>650</v>
      </c>
      <c r="K71" s="14">
        <v>50</v>
      </c>
      <c r="L71" s="4">
        <v>600</v>
      </c>
      <c r="M71" s="12" t="s">
        <v>19</v>
      </c>
      <c r="N71" s="12" t="s">
        <v>20</v>
      </c>
    </row>
    <row r="72" spans="1:15" hidden="1">
      <c r="A72" s="12" t="s">
        <v>186</v>
      </c>
      <c r="B72" s="12"/>
      <c r="C72" s="13">
        <v>45995</v>
      </c>
      <c r="D72" s="12">
        <v>1</v>
      </c>
      <c r="E72" s="12" t="s">
        <v>14</v>
      </c>
      <c r="F72" s="12" t="s">
        <v>15</v>
      </c>
      <c r="G72" s="12" t="s">
        <v>187</v>
      </c>
      <c r="H72" s="12" t="s">
        <v>188</v>
      </c>
      <c r="I72" s="12" t="s">
        <v>54</v>
      </c>
      <c r="J72" s="12">
        <v>0</v>
      </c>
      <c r="K72" s="14">
        <v>50</v>
      </c>
      <c r="L72" s="4">
        <v>-50</v>
      </c>
      <c r="M72" s="12" t="s">
        <v>19</v>
      </c>
      <c r="N72" s="12" t="s">
        <v>181</v>
      </c>
    </row>
    <row r="73" spans="1:15">
      <c r="A73" s="12">
        <v>3457366348</v>
      </c>
      <c r="B73" s="12" t="str">
        <f t="shared" ref="B73:B74" si="3">CONCATENATE(A73,",")</f>
        <v>3457366348,</v>
      </c>
      <c r="C73" s="13">
        <v>45997</v>
      </c>
      <c r="D73" s="12">
        <v>1</v>
      </c>
      <c r="E73" s="12" t="s">
        <v>14</v>
      </c>
      <c r="F73" s="12" t="s">
        <v>189</v>
      </c>
      <c r="G73" s="12" t="s">
        <v>190</v>
      </c>
      <c r="H73" s="12" t="s">
        <v>191</v>
      </c>
      <c r="I73" s="12" t="s">
        <v>32</v>
      </c>
      <c r="J73" s="12">
        <v>850</v>
      </c>
      <c r="K73" s="14">
        <v>55</v>
      </c>
      <c r="L73" s="4">
        <v>795</v>
      </c>
      <c r="M73" s="12" t="s">
        <v>19</v>
      </c>
      <c r="N73" s="12" t="s">
        <v>20</v>
      </c>
    </row>
    <row r="74" spans="1:15" ht="18" hidden="1">
      <c r="A74" s="15" t="s">
        <v>192</v>
      </c>
      <c r="B74" s="12" t="str">
        <f t="shared" si="3"/>
        <v>برجاء مراجعة النقدية قبل المغادرة والاحتفاظ بهذه النسخة مع سيادتكم للرجوع إليها فى حالة وجود مشكلة,</v>
      </c>
      <c r="C74" s="16"/>
      <c r="D74" s="16"/>
      <c r="E74" s="16"/>
      <c r="F74" s="16"/>
      <c r="G74" s="16"/>
      <c r="H74" s="17"/>
      <c r="I74" s="6"/>
      <c r="J74" s="6">
        <v>21285</v>
      </c>
      <c r="K74" s="11">
        <v>2090</v>
      </c>
      <c r="L74" s="9">
        <v>19195</v>
      </c>
      <c r="M74" s="7"/>
      <c r="N74" s="8"/>
    </row>
    <row r="42249" spans="1:8">
      <c r="A42249" s="34"/>
      <c r="B42249" s="34"/>
      <c r="C42249" s="34"/>
      <c r="D42249" s="34"/>
      <c r="E42249" s="34"/>
      <c r="F42249" s="34"/>
      <c r="G42249" s="34"/>
      <c r="H42249" s="34"/>
    </row>
  </sheetData>
  <autoFilter ref="A2:N74">
    <filterColumn colId="0">
      <filters>
        <filter val="n3433787745"/>
        <filter val="n3433866645"/>
        <filter val="n3433896645"/>
        <filter val="n3437567745"/>
        <filter val="n3437677745"/>
        <filter val="n3437983945"/>
        <filter val="n3437998745"/>
        <filter val="n3453875848"/>
        <filter val="n3453935948"/>
        <filter val="n3457337948"/>
        <filter val="n3457355948"/>
        <filter val="n3457366348"/>
        <filter val="n3457558348"/>
        <filter val="n3457569848"/>
        <filter val="n3493876347"/>
        <filter val="n3493896647"/>
        <filter val="n3493897647"/>
        <filter val="n3493958647"/>
        <filter val="n3493966647"/>
        <filter val="n3493985847"/>
        <filter val="n3493989847"/>
        <filter val="n3499755847"/>
        <filter val="n3499759347"/>
        <filter val="n3499778847"/>
        <filter val="n5475336348"/>
        <filter val="n5475357348"/>
        <filter val="n5475377348"/>
        <filter val="n5475383948"/>
        <filter val="n5475396948"/>
        <filter val="n5475399948"/>
        <filter val="n5475535948"/>
        <filter val="n5475579948"/>
        <filter val="n5475738548"/>
        <filter val="n5475763348"/>
        <filter val="n5475767348"/>
        <filter val="n5475793348"/>
        <filter val="n5475797348"/>
        <filter val="n5477668548"/>
        <filter val="n5477677948"/>
        <filter val="n7486389945"/>
        <filter val="n7486589545"/>
        <filter val="n7486933945"/>
        <filter val="n7486973645"/>
        <filter val="n7486983645"/>
        <filter val="n7486985645"/>
        <filter val="n7488653545"/>
        <filter val="n7488666945"/>
        <filter val="n7488677945"/>
        <filter val="n7488678945"/>
        <filter val="n7488685545"/>
        <filter val="n7488738645"/>
        <filter val="n7488757645"/>
        <filter val="n7488769545"/>
        <filter val="n7488775545"/>
        <filter val="n7488799945"/>
        <filter val="n8465367845"/>
        <filter val="n8465878845"/>
        <filter val="n8467539745"/>
        <filter val="n8467559845"/>
        <filter val="n8467567745"/>
        <filter val="n8467568745"/>
        <filter val="n8467569745"/>
        <filter val="n8467585745"/>
        <filter val="n8467793945"/>
        <filter val="n8467935945"/>
        <filter val="n8467958745"/>
        <filter val="n8467966945"/>
        <filter val="n8467995745"/>
        <filter val="برجاء مراجعة النقدية قبل المغادرة والاحتفاظ بهذه النسخة مع سيادتكم للرجوع إليها فى حالة وجود مشكلة"/>
      </filters>
    </filterColumn>
    <filterColumn colId="12">
      <filters>
        <filter val="collected"/>
      </filters>
    </filterColumn>
  </autoFilter>
  <mergeCells count="2">
    <mergeCell ref="A1:N1"/>
    <mergeCell ref="A42249:H422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4"/>
  <sheetViews>
    <sheetView topLeftCell="AC1" workbookViewId="0">
      <selection activeCell="AF1" sqref="AF1:AV1048576"/>
    </sheetView>
  </sheetViews>
  <sheetFormatPr defaultRowHeight="15"/>
  <cols>
    <col min="1" max="1" width="12.7109375" style="26" bestFit="1" customWidth="1"/>
    <col min="2" max="2" width="22.28515625" style="26" bestFit="1" customWidth="1"/>
    <col min="3" max="3" width="25.42578125" style="26" bestFit="1" customWidth="1"/>
    <col min="4" max="4" width="28.85546875" style="26" bestFit="1" customWidth="1"/>
    <col min="5" max="5" width="42.5703125" style="26" bestFit="1" customWidth="1"/>
    <col min="6" max="6" width="27" style="26" bestFit="1" customWidth="1"/>
    <col min="7" max="7" width="42.5703125" style="26" bestFit="1" customWidth="1"/>
    <col min="8" max="9" width="23.85546875" style="26" bestFit="1" customWidth="1"/>
    <col min="10" max="10" width="19" style="26" bestFit="1" customWidth="1"/>
    <col min="11" max="11" width="15.85546875" style="26" bestFit="1" customWidth="1"/>
    <col min="12" max="12" width="17.42578125" style="26" bestFit="1" customWidth="1"/>
    <col min="13" max="13" width="22.5703125" style="26" bestFit="1" customWidth="1"/>
    <col min="14" max="14" width="134.42578125" style="26" bestFit="1" customWidth="1"/>
    <col min="15" max="16" width="19" style="26" bestFit="1" customWidth="1"/>
    <col min="17" max="17" width="22.28515625" style="26" bestFit="1" customWidth="1"/>
    <col min="18" max="18" width="25.42578125" style="26" bestFit="1" customWidth="1"/>
    <col min="19" max="19" width="31.85546875" style="26" bestFit="1" customWidth="1"/>
    <col min="20" max="20" width="30.28515625" style="26" bestFit="1" customWidth="1"/>
    <col min="21" max="21" width="22.28515625" style="26" bestFit="1" customWidth="1"/>
    <col min="22" max="22" width="27" style="26" bestFit="1" customWidth="1"/>
    <col min="23" max="23" width="17.42578125" style="26" bestFit="1" customWidth="1"/>
    <col min="24" max="24" width="27" style="26" bestFit="1" customWidth="1"/>
    <col min="25" max="25" width="20.7109375" style="26" bestFit="1" customWidth="1"/>
    <col min="26" max="26" width="43" style="26" bestFit="1" customWidth="1"/>
    <col min="27" max="27" width="22.28515625" style="26" bestFit="1" customWidth="1"/>
    <col min="28" max="28" width="27" style="26" bestFit="1" customWidth="1"/>
    <col min="29" max="29" width="51" style="26" bestFit="1" customWidth="1"/>
    <col min="30" max="30" width="22.28515625" style="26" bestFit="1" customWidth="1"/>
    <col min="31" max="31" width="14.28515625" style="26" bestFit="1" customWidth="1"/>
    <col min="32" max="32" width="23.85546875" style="26" bestFit="1" customWidth="1"/>
    <col min="33" max="33" width="18.7109375" style="26" bestFit="1" customWidth="1"/>
    <col min="34" max="34" width="14.28515625" style="26" bestFit="1" customWidth="1"/>
    <col min="35" max="35" width="18.7109375" style="26" bestFit="1" customWidth="1"/>
    <col min="36" max="36" width="14.28515625" style="26" bestFit="1" customWidth="1"/>
    <col min="37" max="37" width="15.85546875" style="26" bestFit="1" customWidth="1"/>
    <col min="38" max="38" width="14.28515625" style="26" bestFit="1" customWidth="1"/>
    <col min="39" max="39" width="15.85546875" style="26" bestFit="1" customWidth="1"/>
    <col min="40" max="40" width="14.28515625" style="26" bestFit="1" customWidth="1"/>
    <col min="41" max="41" width="15.85546875" style="26" bestFit="1" customWidth="1"/>
    <col min="42" max="42" width="14.28515625" style="26" bestFit="1" customWidth="1"/>
    <col min="43" max="43" width="15.85546875" style="26" bestFit="1" customWidth="1"/>
    <col min="44" max="44" width="14.28515625" style="26" bestFit="1" customWidth="1"/>
    <col min="45" max="45" width="15.85546875" style="26" bestFit="1" customWidth="1"/>
    <col min="46" max="46" width="14.28515625" style="26" bestFit="1" customWidth="1"/>
    <col min="47" max="47" width="15.85546875" style="26" bestFit="1" customWidth="1"/>
    <col min="48" max="48" width="14.28515625" style="26" bestFit="1" customWidth="1"/>
    <col min="49" max="49" width="11.7109375" style="25" bestFit="1" customWidth="1"/>
    <col min="50" max="50" width="10.28515625" style="25" bestFit="1" customWidth="1"/>
    <col min="51" max="51" width="13.42578125" style="25" bestFit="1" customWidth="1"/>
    <col min="52" max="52" width="10.28515625" style="25" bestFit="1" customWidth="1"/>
    <col min="53" max="53" width="34.28515625" style="25" bestFit="1" customWidth="1"/>
    <col min="54" max="54" width="14.85546875" style="25" bestFit="1" customWidth="1"/>
    <col min="55" max="55" width="28.28515625" style="25" bestFit="1" customWidth="1"/>
    <col min="56" max="56" width="65.85546875" style="25" bestFit="1" customWidth="1"/>
    <col min="57" max="57" width="22.28515625" style="25" bestFit="1" customWidth="1"/>
    <col min="58" max="58" width="56.85546875" style="25" bestFit="1" customWidth="1"/>
    <col min="59" max="59" width="25.42578125" style="25" bestFit="1" customWidth="1"/>
    <col min="60" max="60" width="28.28515625" style="25" bestFit="1" customWidth="1"/>
    <col min="61" max="61" width="26.85546875" style="25" bestFit="1" customWidth="1"/>
    <col min="62" max="62" width="16.28515625" style="25" bestFit="1" customWidth="1"/>
    <col min="63" max="63" width="20" style="25" bestFit="1" customWidth="1"/>
    <col min="64" max="64" width="20.85546875" style="25" bestFit="1" customWidth="1"/>
    <col min="65" max="16384" width="9.140625" style="25"/>
  </cols>
  <sheetData>
    <row r="1" spans="1:64" ht="18.75">
      <c r="A1" s="23" t="s">
        <v>194</v>
      </c>
      <c r="B1" s="23" t="s">
        <v>195</v>
      </c>
      <c r="C1" s="23" t="s">
        <v>196</v>
      </c>
      <c r="D1" s="23" t="s">
        <v>197</v>
      </c>
      <c r="E1" s="23" t="s">
        <v>198</v>
      </c>
      <c r="F1" s="23" t="s">
        <v>199</v>
      </c>
      <c r="G1" s="23" t="s">
        <v>200</v>
      </c>
      <c r="H1" s="23" t="s">
        <v>201</v>
      </c>
      <c r="I1" s="23" t="s">
        <v>202</v>
      </c>
      <c r="J1" s="23" t="s">
        <v>203</v>
      </c>
      <c r="K1" s="23" t="s">
        <v>204</v>
      </c>
      <c r="L1" s="23" t="s">
        <v>205</v>
      </c>
      <c r="M1" s="23" t="s">
        <v>206</v>
      </c>
      <c r="N1" s="23" t="s">
        <v>7</v>
      </c>
      <c r="O1" s="23" t="s">
        <v>207</v>
      </c>
      <c r="P1" s="23" t="s">
        <v>208</v>
      </c>
      <c r="Q1" s="23" t="s">
        <v>209</v>
      </c>
      <c r="R1" s="23" t="s">
        <v>210</v>
      </c>
      <c r="S1" s="23" t="s">
        <v>211</v>
      </c>
      <c r="T1" s="23" t="s">
        <v>212</v>
      </c>
      <c r="U1" s="23" t="s">
        <v>213</v>
      </c>
      <c r="V1" s="23" t="s">
        <v>214</v>
      </c>
      <c r="W1" s="23" t="s">
        <v>12</v>
      </c>
      <c r="X1" s="23" t="s">
        <v>215</v>
      </c>
      <c r="Y1" s="23" t="s">
        <v>216</v>
      </c>
      <c r="Z1" s="23" t="s">
        <v>217</v>
      </c>
      <c r="AA1" s="23" t="s">
        <v>218</v>
      </c>
      <c r="AB1" s="23" t="s">
        <v>219</v>
      </c>
      <c r="AC1" s="23" t="s">
        <v>220</v>
      </c>
      <c r="AD1" s="23" t="s">
        <v>221</v>
      </c>
      <c r="AE1" s="23" t="s">
        <v>222</v>
      </c>
      <c r="AF1" s="23" t="s">
        <v>223</v>
      </c>
      <c r="AG1" s="23" t="s">
        <v>224</v>
      </c>
      <c r="AH1" s="23" t="s">
        <v>225</v>
      </c>
      <c r="AI1" s="23" t="s">
        <v>226</v>
      </c>
      <c r="AJ1" s="23" t="s">
        <v>225</v>
      </c>
      <c r="AK1" s="23" t="s">
        <v>227</v>
      </c>
      <c r="AL1" s="23" t="s">
        <v>225</v>
      </c>
      <c r="AM1" s="23" t="s">
        <v>228</v>
      </c>
      <c r="AN1" s="23" t="s">
        <v>225</v>
      </c>
      <c r="AO1" s="23" t="s">
        <v>229</v>
      </c>
      <c r="AP1" s="23" t="s">
        <v>225</v>
      </c>
      <c r="AQ1" s="23" t="s">
        <v>230</v>
      </c>
      <c r="AR1" s="23" t="s">
        <v>225</v>
      </c>
      <c r="AS1" s="23" t="s">
        <v>231</v>
      </c>
      <c r="AT1" s="23" t="s">
        <v>225</v>
      </c>
      <c r="AU1" s="23" t="s">
        <v>232</v>
      </c>
      <c r="AV1" s="23" t="s">
        <v>225</v>
      </c>
      <c r="AW1" s="24" t="s">
        <v>233</v>
      </c>
      <c r="AX1" s="24" t="s">
        <v>225</v>
      </c>
      <c r="AY1" s="24" t="s">
        <v>234</v>
      </c>
      <c r="AZ1" s="24" t="s">
        <v>225</v>
      </c>
      <c r="BA1" s="24" t="s">
        <v>235</v>
      </c>
      <c r="BB1" s="24" t="s">
        <v>236</v>
      </c>
      <c r="BC1" s="24" t="s">
        <v>237</v>
      </c>
      <c r="BD1" s="24" t="s">
        <v>238</v>
      </c>
      <c r="BE1" s="24" t="s">
        <v>239</v>
      </c>
      <c r="BF1" s="24" t="s">
        <v>240</v>
      </c>
      <c r="BG1" s="24" t="s">
        <v>241</v>
      </c>
      <c r="BH1" s="24" t="s">
        <v>242</v>
      </c>
      <c r="BI1" s="24" t="s">
        <v>243</v>
      </c>
      <c r="BJ1" s="24" t="s">
        <v>244</v>
      </c>
      <c r="BK1" s="24" t="s">
        <v>245</v>
      </c>
      <c r="BL1" s="24" t="s">
        <v>246</v>
      </c>
    </row>
    <row r="2" spans="1:64">
      <c r="A2" s="26">
        <v>1</v>
      </c>
      <c r="B2" s="26">
        <v>3453935948</v>
      </c>
      <c r="D2" s="26" t="s">
        <v>21</v>
      </c>
      <c r="E2" s="26" t="s">
        <v>247</v>
      </c>
      <c r="G2" s="26" t="s">
        <v>248</v>
      </c>
      <c r="H2" s="26">
        <v>600</v>
      </c>
      <c r="J2" s="26" t="s">
        <v>249</v>
      </c>
      <c r="L2" s="26" t="s">
        <v>118</v>
      </c>
      <c r="M2" s="26" t="s">
        <v>250</v>
      </c>
      <c r="N2" s="26" t="s">
        <v>22</v>
      </c>
      <c r="O2" s="26" t="s">
        <v>251</v>
      </c>
      <c r="Q2" s="26" t="s">
        <v>252</v>
      </c>
      <c r="S2" s="26" t="s">
        <v>252</v>
      </c>
      <c r="T2" s="26" t="s">
        <v>252</v>
      </c>
      <c r="U2" s="26" t="s">
        <v>252</v>
      </c>
      <c r="V2" s="26" t="s">
        <v>252</v>
      </c>
      <c r="W2" s="26" t="s">
        <v>253</v>
      </c>
      <c r="Y2" s="26" t="s">
        <v>254</v>
      </c>
      <c r="AF2" s="26">
        <v>2</v>
      </c>
      <c r="AG2" s="26" t="s">
        <v>255</v>
      </c>
      <c r="AH2" s="26">
        <v>1</v>
      </c>
      <c r="AI2" s="26" t="s">
        <v>256</v>
      </c>
      <c r="AJ2" s="26">
        <v>1</v>
      </c>
      <c r="BA2" s="25">
        <v>660</v>
      </c>
      <c r="BB2" s="25">
        <v>40</v>
      </c>
      <c r="BC2" s="25">
        <v>700</v>
      </c>
      <c r="BD2" s="25">
        <v>600</v>
      </c>
      <c r="BF2" s="25">
        <v>700</v>
      </c>
      <c r="BG2" s="25">
        <v>700</v>
      </c>
      <c r="BI2" s="25">
        <v>40</v>
      </c>
      <c r="BJ2" s="25" t="s">
        <v>257</v>
      </c>
      <c r="BK2" s="25" t="s">
        <v>258</v>
      </c>
    </row>
    <row r="3" spans="1:64">
      <c r="A3" s="26">
        <v>2</v>
      </c>
      <c r="B3" s="26">
        <v>3499759347</v>
      </c>
      <c r="D3" s="26" t="s">
        <v>16</v>
      </c>
      <c r="E3" s="26" t="s">
        <v>247</v>
      </c>
      <c r="G3" s="26" t="s">
        <v>248</v>
      </c>
      <c r="H3" s="26">
        <v>600</v>
      </c>
      <c r="J3" s="26" t="s">
        <v>249</v>
      </c>
      <c r="L3" s="26" t="s">
        <v>189</v>
      </c>
      <c r="M3" s="26" t="s">
        <v>259</v>
      </c>
      <c r="N3" s="26" t="s">
        <v>17</v>
      </c>
      <c r="O3" s="26" t="s">
        <v>260</v>
      </c>
      <c r="Q3" s="26" t="s">
        <v>261</v>
      </c>
      <c r="S3" s="26" t="s">
        <v>262</v>
      </c>
      <c r="T3" s="26" t="s">
        <v>262</v>
      </c>
      <c r="U3" s="26" t="s">
        <v>262</v>
      </c>
      <c r="V3" s="26" t="s">
        <v>262</v>
      </c>
      <c r="W3" s="26" t="s">
        <v>253</v>
      </c>
      <c r="Y3" s="26" t="s">
        <v>254</v>
      </c>
      <c r="AF3" s="26">
        <v>2</v>
      </c>
      <c r="AG3" s="26" t="s">
        <v>263</v>
      </c>
      <c r="AH3" s="26">
        <v>1</v>
      </c>
      <c r="AI3" s="26" t="s">
        <v>264</v>
      </c>
      <c r="AJ3" s="26">
        <v>1</v>
      </c>
      <c r="BA3" s="25">
        <v>665</v>
      </c>
      <c r="BB3" s="25">
        <v>35</v>
      </c>
      <c r="BC3" s="25">
        <v>700</v>
      </c>
      <c r="BD3" s="25">
        <v>600</v>
      </c>
      <c r="BF3" s="25">
        <v>700</v>
      </c>
      <c r="BG3" s="25">
        <v>700</v>
      </c>
      <c r="BI3" s="25">
        <v>35</v>
      </c>
      <c r="BJ3" s="25" t="s">
        <v>257</v>
      </c>
      <c r="BK3" s="25" t="s">
        <v>265</v>
      </c>
    </row>
    <row r="4" spans="1:64">
      <c r="A4" s="26">
        <v>3</v>
      </c>
      <c r="B4" s="26">
        <v>3499755847</v>
      </c>
      <c r="D4" s="26" t="s">
        <v>52</v>
      </c>
      <c r="E4" s="26" t="s">
        <v>247</v>
      </c>
      <c r="G4" s="26" t="s">
        <v>248</v>
      </c>
      <c r="H4" s="26">
        <v>600</v>
      </c>
      <c r="J4" s="26" t="s">
        <v>249</v>
      </c>
      <c r="L4" s="26" t="s">
        <v>189</v>
      </c>
      <c r="M4" s="26" t="s">
        <v>266</v>
      </c>
      <c r="N4" s="26" t="s">
        <v>53</v>
      </c>
      <c r="O4" s="26" t="s">
        <v>267</v>
      </c>
      <c r="P4" s="26" t="s">
        <v>267</v>
      </c>
      <c r="Q4" s="26" t="s">
        <v>261</v>
      </c>
      <c r="S4" s="26" t="s">
        <v>268</v>
      </c>
      <c r="T4" s="26" t="s">
        <v>269</v>
      </c>
      <c r="U4" s="26" t="s">
        <v>269</v>
      </c>
      <c r="V4" s="26" t="s">
        <v>269</v>
      </c>
      <c r="W4" s="26" t="s">
        <v>253</v>
      </c>
      <c r="Y4" s="26" t="s">
        <v>254</v>
      </c>
      <c r="AF4" s="26">
        <v>2</v>
      </c>
      <c r="AG4" s="26" t="s">
        <v>270</v>
      </c>
      <c r="AH4" s="26">
        <v>1</v>
      </c>
      <c r="AI4" s="26" t="s">
        <v>271</v>
      </c>
      <c r="AJ4" s="26">
        <v>1</v>
      </c>
      <c r="BA4" s="25">
        <v>615</v>
      </c>
      <c r="BB4" s="25">
        <v>35</v>
      </c>
      <c r="BC4" s="25">
        <v>650</v>
      </c>
      <c r="BD4" s="25">
        <v>600</v>
      </c>
      <c r="BF4" s="25">
        <v>650</v>
      </c>
      <c r="BG4" s="25">
        <v>650</v>
      </c>
      <c r="BI4" s="25">
        <v>35</v>
      </c>
      <c r="BJ4" s="25" t="s">
        <v>257</v>
      </c>
      <c r="BK4" s="25" t="s">
        <v>258</v>
      </c>
    </row>
    <row r="5" spans="1:64">
      <c r="A5" s="26">
        <v>4</v>
      </c>
      <c r="B5" s="26">
        <v>7486933945</v>
      </c>
      <c r="D5" s="26" t="s">
        <v>135</v>
      </c>
      <c r="E5" s="26" t="s">
        <v>247</v>
      </c>
      <c r="G5" s="26" t="s">
        <v>248</v>
      </c>
      <c r="H5" s="26">
        <v>600</v>
      </c>
      <c r="J5" s="26" t="s">
        <v>249</v>
      </c>
      <c r="L5" s="26" t="s">
        <v>189</v>
      </c>
      <c r="M5" s="26" t="s">
        <v>272</v>
      </c>
      <c r="N5" s="26" t="s">
        <v>136</v>
      </c>
      <c r="O5" s="26" t="s">
        <v>273</v>
      </c>
      <c r="Q5" s="26" t="s">
        <v>262</v>
      </c>
      <c r="S5" s="26" t="s">
        <v>268</v>
      </c>
      <c r="T5" s="26" t="s">
        <v>269</v>
      </c>
      <c r="U5" s="26" t="s">
        <v>269</v>
      </c>
      <c r="V5" s="26" t="s">
        <v>269</v>
      </c>
      <c r="W5" s="26" t="s">
        <v>253</v>
      </c>
      <c r="Y5" s="26" t="s">
        <v>254</v>
      </c>
      <c r="AF5" s="26">
        <v>2</v>
      </c>
      <c r="AG5" s="26" t="s">
        <v>274</v>
      </c>
      <c r="AH5" s="26">
        <v>1</v>
      </c>
      <c r="AI5" s="26" t="s">
        <v>271</v>
      </c>
      <c r="AJ5" s="26">
        <v>1</v>
      </c>
      <c r="BA5" s="25">
        <v>615</v>
      </c>
      <c r="BB5" s="25">
        <v>35</v>
      </c>
      <c r="BC5" s="25">
        <v>650</v>
      </c>
      <c r="BD5" s="25">
        <v>600</v>
      </c>
      <c r="BF5" s="25">
        <v>650</v>
      </c>
      <c r="BG5" s="25">
        <v>650</v>
      </c>
      <c r="BI5" s="25">
        <v>35</v>
      </c>
      <c r="BJ5" s="25" t="s">
        <v>257</v>
      </c>
      <c r="BK5" s="25" t="s">
        <v>258</v>
      </c>
    </row>
    <row r="6" spans="1:64" s="28" customFormat="1">
      <c r="A6" s="27">
        <v>5</v>
      </c>
      <c r="B6" s="27">
        <v>3499778847</v>
      </c>
      <c r="C6" s="27"/>
      <c r="D6" s="27" t="s">
        <v>133</v>
      </c>
      <c r="E6" s="27" t="s">
        <v>275</v>
      </c>
      <c r="F6" s="27"/>
      <c r="G6" s="27" t="s">
        <v>248</v>
      </c>
      <c r="H6" s="27">
        <v>600</v>
      </c>
      <c r="I6" s="27"/>
      <c r="J6" s="27" t="s">
        <v>249</v>
      </c>
      <c r="K6" s="27"/>
      <c r="L6" s="27" t="s">
        <v>276</v>
      </c>
      <c r="M6" s="27" t="s">
        <v>277</v>
      </c>
      <c r="N6" s="27" t="s">
        <v>134</v>
      </c>
      <c r="O6" s="27" t="s">
        <v>278</v>
      </c>
      <c r="P6" s="27" t="s">
        <v>279</v>
      </c>
      <c r="Q6" s="27" t="s">
        <v>262</v>
      </c>
      <c r="R6" s="27"/>
      <c r="S6" s="27" t="s">
        <v>268</v>
      </c>
      <c r="T6" s="27" t="s">
        <v>269</v>
      </c>
      <c r="U6" s="27" t="s">
        <v>269</v>
      </c>
      <c r="V6" s="27" t="s">
        <v>269</v>
      </c>
      <c r="W6" s="27" t="s">
        <v>253</v>
      </c>
      <c r="X6" s="27"/>
      <c r="Y6" s="27" t="s">
        <v>254</v>
      </c>
      <c r="Z6" s="27"/>
      <c r="AA6" s="27"/>
      <c r="AB6" s="27"/>
      <c r="AC6" s="27"/>
      <c r="AD6" s="27"/>
      <c r="AE6" s="27"/>
      <c r="AF6" s="27">
        <v>2</v>
      </c>
      <c r="AG6" s="27" t="s">
        <v>270</v>
      </c>
      <c r="AH6" s="27">
        <v>1</v>
      </c>
      <c r="AI6" s="27" t="s">
        <v>271</v>
      </c>
      <c r="AJ6" s="27">
        <v>1</v>
      </c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BA6" s="28">
        <v>20</v>
      </c>
      <c r="BB6" s="28">
        <v>40</v>
      </c>
      <c r="BC6" s="28">
        <v>60</v>
      </c>
      <c r="BD6" s="28">
        <v>600</v>
      </c>
      <c r="BF6" s="28">
        <v>60</v>
      </c>
      <c r="BG6" s="28">
        <v>60</v>
      </c>
      <c r="BI6" s="28">
        <v>40</v>
      </c>
      <c r="BJ6" s="28" t="s">
        <v>257</v>
      </c>
    </row>
    <row r="7" spans="1:64">
      <c r="A7" s="26">
        <v>6</v>
      </c>
      <c r="B7" s="26">
        <v>3437998745</v>
      </c>
      <c r="D7" s="26" t="s">
        <v>129</v>
      </c>
      <c r="E7" s="26" t="s">
        <v>247</v>
      </c>
      <c r="G7" s="26" t="s">
        <v>248</v>
      </c>
      <c r="H7" s="26">
        <v>1200</v>
      </c>
      <c r="J7" s="26" t="s">
        <v>249</v>
      </c>
      <c r="L7" s="26" t="s">
        <v>276</v>
      </c>
      <c r="M7" s="26" t="s">
        <v>277</v>
      </c>
      <c r="N7" s="26" t="s">
        <v>130</v>
      </c>
      <c r="O7" s="26" t="s">
        <v>280</v>
      </c>
      <c r="P7" s="26" t="s">
        <v>281</v>
      </c>
      <c r="Q7" s="26" t="s">
        <v>262</v>
      </c>
      <c r="S7" s="26" t="s">
        <v>268</v>
      </c>
      <c r="T7" s="26" t="s">
        <v>269</v>
      </c>
      <c r="U7" s="26" t="s">
        <v>269</v>
      </c>
      <c r="V7" s="26" t="s">
        <v>269</v>
      </c>
      <c r="W7" s="26" t="s">
        <v>253</v>
      </c>
      <c r="Y7" s="26" t="s">
        <v>254</v>
      </c>
      <c r="AF7" s="26">
        <v>4</v>
      </c>
      <c r="AG7" s="26" t="s">
        <v>282</v>
      </c>
      <c r="AH7" s="26">
        <v>1</v>
      </c>
      <c r="AI7" s="26" t="s">
        <v>283</v>
      </c>
      <c r="AJ7" s="26">
        <v>1</v>
      </c>
      <c r="AK7" s="26" t="s">
        <v>284</v>
      </c>
      <c r="AL7" s="26">
        <v>1</v>
      </c>
      <c r="AM7" s="26" t="s">
        <v>285</v>
      </c>
      <c r="AN7" s="26">
        <v>1</v>
      </c>
      <c r="BA7" s="25">
        <v>1240</v>
      </c>
      <c r="BB7" s="25">
        <v>40</v>
      </c>
      <c r="BC7" s="25">
        <v>1280</v>
      </c>
      <c r="BD7" s="25">
        <v>1200</v>
      </c>
      <c r="BF7" s="25">
        <v>1280</v>
      </c>
      <c r="BG7" s="25">
        <v>1280</v>
      </c>
      <c r="BI7" s="25">
        <v>40</v>
      </c>
      <c r="BJ7" s="25" t="s">
        <v>257</v>
      </c>
      <c r="BK7" s="25" t="s">
        <v>265</v>
      </c>
    </row>
    <row r="8" spans="1:64">
      <c r="A8" s="26">
        <v>7</v>
      </c>
      <c r="B8" s="26">
        <v>5477668548</v>
      </c>
      <c r="D8" s="26" t="s">
        <v>59</v>
      </c>
      <c r="E8" s="26" t="s">
        <v>247</v>
      </c>
      <c r="G8" s="26" t="s">
        <v>248</v>
      </c>
      <c r="H8" s="26">
        <v>600</v>
      </c>
      <c r="J8" s="26" t="s">
        <v>249</v>
      </c>
      <c r="L8" s="26" t="s">
        <v>61</v>
      </c>
      <c r="M8" s="26" t="s">
        <v>286</v>
      </c>
      <c r="N8" s="26" t="s">
        <v>60</v>
      </c>
      <c r="O8" s="26" t="s">
        <v>287</v>
      </c>
      <c r="P8" s="26" t="s">
        <v>287</v>
      </c>
      <c r="Q8" s="26" t="s">
        <v>262</v>
      </c>
      <c r="S8" s="26" t="s">
        <v>268</v>
      </c>
      <c r="T8" s="26" t="s">
        <v>269</v>
      </c>
      <c r="U8" s="26" t="s">
        <v>269</v>
      </c>
      <c r="V8" s="26" t="s">
        <v>269</v>
      </c>
      <c r="W8" s="26" t="s">
        <v>253</v>
      </c>
      <c r="Y8" s="26" t="s">
        <v>254</v>
      </c>
      <c r="AF8" s="26">
        <v>2</v>
      </c>
      <c r="AG8" s="26" t="s">
        <v>284</v>
      </c>
      <c r="AH8" s="26">
        <v>1</v>
      </c>
      <c r="AI8" s="26" t="s">
        <v>285</v>
      </c>
      <c r="AJ8" s="26">
        <v>1</v>
      </c>
      <c r="BA8" s="25">
        <v>635</v>
      </c>
      <c r="BB8" s="25">
        <v>35</v>
      </c>
      <c r="BC8" s="25">
        <v>670</v>
      </c>
      <c r="BD8" s="25">
        <v>600</v>
      </c>
      <c r="BF8" s="25">
        <v>670</v>
      </c>
      <c r="BG8" s="25">
        <v>670</v>
      </c>
      <c r="BI8" s="25">
        <v>35</v>
      </c>
      <c r="BJ8" s="25" t="s">
        <v>257</v>
      </c>
      <c r="BK8" s="25" t="s">
        <v>258</v>
      </c>
    </row>
    <row r="9" spans="1:64">
      <c r="A9" s="26">
        <v>8</v>
      </c>
      <c r="B9" s="26">
        <v>5475336348</v>
      </c>
      <c r="D9" s="26" t="s">
        <v>174</v>
      </c>
      <c r="E9" s="26" t="s">
        <v>247</v>
      </c>
      <c r="G9" s="26" t="s">
        <v>248</v>
      </c>
      <c r="H9" s="26">
        <v>600</v>
      </c>
      <c r="J9" s="26" t="s">
        <v>249</v>
      </c>
      <c r="L9" s="26" t="s">
        <v>176</v>
      </c>
      <c r="M9" s="26" t="s">
        <v>288</v>
      </c>
      <c r="N9" s="26" t="s">
        <v>175</v>
      </c>
      <c r="O9" s="26" t="s">
        <v>289</v>
      </c>
      <c r="P9" s="26" t="s">
        <v>289</v>
      </c>
      <c r="Q9" s="26" t="s">
        <v>268</v>
      </c>
      <c r="S9" s="26" t="s">
        <v>269</v>
      </c>
      <c r="T9" s="26" t="s">
        <v>269</v>
      </c>
      <c r="U9" s="26" t="s">
        <v>269</v>
      </c>
      <c r="V9" s="26" t="s">
        <v>269</v>
      </c>
      <c r="W9" s="26" t="s">
        <v>253</v>
      </c>
      <c r="Y9" s="26" t="s">
        <v>254</v>
      </c>
      <c r="AF9" s="26">
        <v>2</v>
      </c>
      <c r="AG9" s="26" t="s">
        <v>270</v>
      </c>
      <c r="AH9" s="26">
        <v>1</v>
      </c>
      <c r="AI9" s="26" t="s">
        <v>271</v>
      </c>
      <c r="AJ9" s="26">
        <v>1</v>
      </c>
      <c r="BA9" s="25">
        <v>620</v>
      </c>
      <c r="BB9" s="25">
        <v>40</v>
      </c>
      <c r="BC9" s="25">
        <v>660</v>
      </c>
      <c r="BD9" s="25">
        <v>600</v>
      </c>
      <c r="BF9" s="25">
        <v>660</v>
      </c>
      <c r="BG9" s="25">
        <v>660</v>
      </c>
      <c r="BI9" s="25">
        <v>40</v>
      </c>
      <c r="BJ9" s="25" t="s">
        <v>257</v>
      </c>
      <c r="BK9" s="25" t="s">
        <v>290</v>
      </c>
    </row>
    <row r="10" spans="1:64">
      <c r="A10" s="26">
        <v>9</v>
      </c>
      <c r="B10" s="26">
        <v>3493896647</v>
      </c>
      <c r="D10" s="26" t="s">
        <v>131</v>
      </c>
      <c r="E10" s="26" t="s">
        <v>247</v>
      </c>
      <c r="G10" s="26" t="s">
        <v>248</v>
      </c>
      <c r="H10" s="26">
        <v>600</v>
      </c>
      <c r="J10" s="26" t="s">
        <v>249</v>
      </c>
      <c r="L10" s="26" t="s">
        <v>276</v>
      </c>
      <c r="M10" s="26" t="s">
        <v>277</v>
      </c>
      <c r="N10" s="26" t="s">
        <v>132</v>
      </c>
      <c r="O10" s="26" t="s">
        <v>291</v>
      </c>
      <c r="P10" s="26" t="s">
        <v>291</v>
      </c>
      <c r="Q10" s="26" t="s">
        <v>268</v>
      </c>
      <c r="S10" s="26" t="s">
        <v>269</v>
      </c>
      <c r="T10" s="26" t="s">
        <v>269</v>
      </c>
      <c r="U10" s="26" t="s">
        <v>269</v>
      </c>
      <c r="V10" s="26" t="s">
        <v>269</v>
      </c>
      <c r="W10" s="26" t="s">
        <v>253</v>
      </c>
      <c r="Y10" s="26" t="s">
        <v>254</v>
      </c>
      <c r="AF10" s="26">
        <v>2</v>
      </c>
      <c r="AG10" s="26" t="s">
        <v>292</v>
      </c>
      <c r="AH10" s="26">
        <v>1</v>
      </c>
      <c r="AI10" s="26" t="s">
        <v>274</v>
      </c>
      <c r="AJ10" s="26">
        <v>1</v>
      </c>
      <c r="BA10" s="25">
        <v>620</v>
      </c>
      <c r="BB10" s="25">
        <v>40</v>
      </c>
      <c r="BC10" s="25">
        <v>660</v>
      </c>
      <c r="BD10" s="25">
        <v>600</v>
      </c>
      <c r="BF10" s="25">
        <v>660</v>
      </c>
      <c r="BG10" s="25">
        <v>660</v>
      </c>
      <c r="BI10" s="25">
        <v>40</v>
      </c>
      <c r="BJ10" s="25" t="s">
        <v>257</v>
      </c>
      <c r="BK10" s="25" t="s">
        <v>265</v>
      </c>
    </row>
    <row r="11" spans="1:64">
      <c r="A11" s="26">
        <v>10</v>
      </c>
      <c r="B11" s="26">
        <v>3493897647</v>
      </c>
      <c r="D11" s="26" t="s">
        <v>182</v>
      </c>
      <c r="E11" s="26" t="s">
        <v>247</v>
      </c>
      <c r="G11" s="26" t="s">
        <v>248</v>
      </c>
      <c r="H11" s="26">
        <v>900</v>
      </c>
      <c r="J11" s="26" t="s">
        <v>249</v>
      </c>
      <c r="L11" s="26" t="s">
        <v>189</v>
      </c>
      <c r="M11" s="26" t="s">
        <v>293</v>
      </c>
      <c r="N11" s="26" t="s">
        <v>183</v>
      </c>
      <c r="O11" s="26" t="s">
        <v>294</v>
      </c>
      <c r="P11" s="26" t="s">
        <v>294</v>
      </c>
      <c r="Q11" s="26" t="s">
        <v>268</v>
      </c>
      <c r="S11" s="26" t="s">
        <v>295</v>
      </c>
      <c r="T11" s="26" t="s">
        <v>295</v>
      </c>
      <c r="U11" s="26" t="s">
        <v>295</v>
      </c>
      <c r="V11" s="26" t="s">
        <v>295</v>
      </c>
      <c r="W11" s="26" t="s">
        <v>253</v>
      </c>
      <c r="Y11" s="26" t="s">
        <v>254</v>
      </c>
      <c r="AF11" s="26">
        <v>3</v>
      </c>
      <c r="AG11" s="26" t="s">
        <v>296</v>
      </c>
      <c r="AH11" s="26">
        <v>1</v>
      </c>
      <c r="AI11" s="26" t="s">
        <v>297</v>
      </c>
      <c r="AJ11" s="26">
        <v>1</v>
      </c>
      <c r="AK11" s="26" t="s">
        <v>298</v>
      </c>
      <c r="AL11" s="26">
        <v>1</v>
      </c>
      <c r="BA11" s="25">
        <v>815</v>
      </c>
      <c r="BB11" s="25">
        <v>35</v>
      </c>
      <c r="BC11" s="25">
        <v>850</v>
      </c>
      <c r="BD11" s="25">
        <v>900</v>
      </c>
      <c r="BF11" s="25">
        <v>850</v>
      </c>
      <c r="BG11" s="25">
        <v>850</v>
      </c>
      <c r="BI11" s="25">
        <v>35</v>
      </c>
      <c r="BJ11" s="25" t="s">
        <v>257</v>
      </c>
      <c r="BK11" s="25" t="s">
        <v>258</v>
      </c>
    </row>
    <row r="12" spans="1:64">
      <c r="A12" s="26">
        <v>11</v>
      </c>
      <c r="B12" s="26">
        <v>7488757645</v>
      </c>
      <c r="D12" s="26" t="s">
        <v>44</v>
      </c>
      <c r="E12" s="26" t="s">
        <v>247</v>
      </c>
      <c r="G12" s="26" t="s">
        <v>248</v>
      </c>
      <c r="H12" s="26">
        <v>300</v>
      </c>
      <c r="J12" s="26" t="s">
        <v>249</v>
      </c>
      <c r="L12" s="26" t="s">
        <v>276</v>
      </c>
      <c r="M12" s="26" t="s">
        <v>277</v>
      </c>
      <c r="N12" s="26" t="s">
        <v>45</v>
      </c>
      <c r="O12" s="26" t="s">
        <v>299</v>
      </c>
      <c r="P12" s="26" t="s">
        <v>299</v>
      </c>
      <c r="Q12" s="26" t="s">
        <v>268</v>
      </c>
      <c r="S12" s="26" t="s">
        <v>269</v>
      </c>
      <c r="T12" s="26" t="s">
        <v>269</v>
      </c>
      <c r="U12" s="26" t="s">
        <v>269</v>
      </c>
      <c r="V12" s="26" t="s">
        <v>269</v>
      </c>
      <c r="W12" s="26" t="s">
        <v>253</v>
      </c>
      <c r="Y12" s="26" t="s">
        <v>254</v>
      </c>
      <c r="AF12" s="26">
        <v>1</v>
      </c>
      <c r="AG12" s="26" t="s">
        <v>297</v>
      </c>
      <c r="AH12" s="26">
        <v>1</v>
      </c>
      <c r="BA12" s="25">
        <v>420</v>
      </c>
      <c r="BB12" s="25">
        <v>40</v>
      </c>
      <c r="BC12" s="25">
        <v>460</v>
      </c>
      <c r="BD12" s="25">
        <v>300</v>
      </c>
      <c r="BF12" s="25">
        <v>460</v>
      </c>
      <c r="BG12" s="25">
        <v>460</v>
      </c>
      <c r="BI12" s="25">
        <v>40</v>
      </c>
      <c r="BJ12" s="25" t="s">
        <v>257</v>
      </c>
      <c r="BK12" s="25" t="s">
        <v>265</v>
      </c>
    </row>
    <row r="13" spans="1:64">
      <c r="A13" s="26">
        <v>12</v>
      </c>
      <c r="B13" s="26">
        <v>7488738645</v>
      </c>
      <c r="D13" s="26" t="s">
        <v>42</v>
      </c>
      <c r="E13" s="26" t="s">
        <v>247</v>
      </c>
      <c r="G13" s="26" t="s">
        <v>248</v>
      </c>
      <c r="H13" s="26">
        <v>600</v>
      </c>
      <c r="J13" s="26" t="s">
        <v>249</v>
      </c>
      <c r="L13" s="26" t="s">
        <v>189</v>
      </c>
      <c r="M13" s="26" t="s">
        <v>300</v>
      </c>
      <c r="N13" s="26" t="s">
        <v>43</v>
      </c>
      <c r="O13" s="26" t="s">
        <v>301</v>
      </c>
      <c r="Q13" s="26" t="s">
        <v>269</v>
      </c>
      <c r="S13" s="26" t="s">
        <v>269</v>
      </c>
      <c r="T13" s="26" t="s">
        <v>269</v>
      </c>
      <c r="U13" s="26" t="s">
        <v>269</v>
      </c>
      <c r="V13" s="26" t="s">
        <v>269</v>
      </c>
      <c r="W13" s="26" t="s">
        <v>253</v>
      </c>
      <c r="Y13" s="26" t="s">
        <v>254</v>
      </c>
      <c r="AF13" s="26">
        <v>2</v>
      </c>
      <c r="AG13" s="26" t="s">
        <v>302</v>
      </c>
      <c r="AH13" s="26">
        <v>1</v>
      </c>
      <c r="AI13" s="26" t="s">
        <v>303</v>
      </c>
      <c r="AJ13" s="26">
        <v>1</v>
      </c>
      <c r="BA13" s="25">
        <v>615</v>
      </c>
      <c r="BB13" s="25">
        <v>35</v>
      </c>
      <c r="BC13" s="25">
        <v>650</v>
      </c>
      <c r="BD13" s="25">
        <v>600</v>
      </c>
      <c r="BF13" s="25">
        <v>650</v>
      </c>
      <c r="BG13" s="25">
        <v>650</v>
      </c>
      <c r="BI13" s="25">
        <v>35</v>
      </c>
      <c r="BJ13" s="25" t="s">
        <v>257</v>
      </c>
      <c r="BK13" s="25" t="s">
        <v>265</v>
      </c>
    </row>
    <row r="14" spans="1:64">
      <c r="A14" s="26">
        <v>13</v>
      </c>
      <c r="B14" s="26">
        <v>3457569848</v>
      </c>
      <c r="D14" s="26" t="s">
        <v>34</v>
      </c>
      <c r="E14" s="26" t="s">
        <v>247</v>
      </c>
      <c r="G14" s="26" t="s">
        <v>248</v>
      </c>
      <c r="H14" s="26">
        <v>300</v>
      </c>
      <c r="J14" s="26" t="s">
        <v>249</v>
      </c>
      <c r="L14" s="26" t="s">
        <v>118</v>
      </c>
      <c r="M14" s="26" t="s">
        <v>118</v>
      </c>
      <c r="N14" s="26" t="s">
        <v>35</v>
      </c>
      <c r="O14" s="26" t="s">
        <v>304</v>
      </c>
      <c r="P14" s="26" t="s">
        <v>304</v>
      </c>
      <c r="Q14" s="26" t="s">
        <v>269</v>
      </c>
      <c r="S14" s="26" t="s">
        <v>305</v>
      </c>
      <c r="T14" s="26" t="s">
        <v>305</v>
      </c>
      <c r="U14" s="26" t="s">
        <v>305</v>
      </c>
      <c r="V14" s="26" t="s">
        <v>305</v>
      </c>
      <c r="W14" s="26" t="s">
        <v>253</v>
      </c>
      <c r="Y14" s="26" t="s">
        <v>254</v>
      </c>
      <c r="AF14" s="26">
        <v>1</v>
      </c>
      <c r="AG14" s="26" t="s">
        <v>292</v>
      </c>
      <c r="AH14" s="26">
        <v>1</v>
      </c>
      <c r="BA14" s="25">
        <v>410</v>
      </c>
      <c r="BB14" s="25">
        <v>40</v>
      </c>
      <c r="BC14" s="25">
        <v>450</v>
      </c>
      <c r="BD14" s="25">
        <v>300</v>
      </c>
      <c r="BF14" s="25">
        <v>450</v>
      </c>
      <c r="BG14" s="25">
        <v>450</v>
      </c>
      <c r="BI14" s="25">
        <v>40</v>
      </c>
      <c r="BJ14" s="25" t="s">
        <v>257</v>
      </c>
      <c r="BK14" s="25" t="s">
        <v>265</v>
      </c>
    </row>
    <row r="15" spans="1:64">
      <c r="A15" s="26">
        <v>14</v>
      </c>
      <c r="B15" s="26">
        <v>5475396948</v>
      </c>
      <c r="D15" s="26" t="s">
        <v>160</v>
      </c>
      <c r="E15" s="26" t="s">
        <v>247</v>
      </c>
      <c r="G15" s="26" t="s">
        <v>248</v>
      </c>
      <c r="H15" s="26">
        <v>900</v>
      </c>
      <c r="J15" s="26" t="s">
        <v>249</v>
      </c>
      <c r="L15" s="26" t="s">
        <v>118</v>
      </c>
      <c r="M15" s="26" t="s">
        <v>306</v>
      </c>
      <c r="N15" s="26" t="s">
        <v>161</v>
      </c>
      <c r="O15" s="26" t="s">
        <v>307</v>
      </c>
      <c r="Q15" s="26" t="s">
        <v>269</v>
      </c>
      <c r="S15" s="26" t="s">
        <v>269</v>
      </c>
      <c r="T15" s="26" t="s">
        <v>269</v>
      </c>
      <c r="U15" s="26" t="s">
        <v>269</v>
      </c>
      <c r="V15" s="26" t="s">
        <v>269</v>
      </c>
      <c r="W15" s="26" t="s">
        <v>253</v>
      </c>
      <c r="Y15" s="26" t="s">
        <v>254</v>
      </c>
      <c r="AF15" s="26">
        <v>3</v>
      </c>
      <c r="AG15" s="26" t="s">
        <v>308</v>
      </c>
      <c r="AH15" s="26">
        <v>3</v>
      </c>
      <c r="BA15" s="25">
        <v>810</v>
      </c>
      <c r="BB15" s="25">
        <v>40</v>
      </c>
      <c r="BC15" s="25">
        <v>850</v>
      </c>
      <c r="BD15" s="25">
        <v>900</v>
      </c>
      <c r="BF15" s="25">
        <v>850</v>
      </c>
      <c r="BG15" s="25">
        <v>850</v>
      </c>
      <c r="BI15" s="25">
        <v>40</v>
      </c>
      <c r="BJ15" s="25" t="s">
        <v>257</v>
      </c>
      <c r="BK15" s="25" t="s">
        <v>258</v>
      </c>
    </row>
    <row r="16" spans="1:64">
      <c r="A16" s="26">
        <v>15</v>
      </c>
      <c r="B16" s="26">
        <v>8467935945</v>
      </c>
      <c r="D16" s="26" t="s">
        <v>27</v>
      </c>
      <c r="E16" s="26" t="s">
        <v>247</v>
      </c>
      <c r="G16" s="26" t="s">
        <v>248</v>
      </c>
      <c r="H16" s="26">
        <v>900</v>
      </c>
      <c r="J16" s="26" t="s">
        <v>249</v>
      </c>
      <c r="L16" s="26" t="s">
        <v>118</v>
      </c>
      <c r="M16" s="26" t="s">
        <v>309</v>
      </c>
      <c r="N16" s="26" t="s">
        <v>28</v>
      </c>
      <c r="O16" s="26" t="s">
        <v>310</v>
      </c>
      <c r="P16" s="26" t="s">
        <v>311</v>
      </c>
      <c r="Q16" s="26" t="s">
        <v>269</v>
      </c>
      <c r="S16" s="26" t="s">
        <v>305</v>
      </c>
      <c r="T16" s="26" t="s">
        <v>305</v>
      </c>
      <c r="U16" s="26" t="s">
        <v>305</v>
      </c>
      <c r="V16" s="26" t="s">
        <v>305</v>
      </c>
      <c r="W16" s="26" t="s">
        <v>253</v>
      </c>
      <c r="Y16" s="26" t="s">
        <v>254</v>
      </c>
      <c r="AF16" s="26">
        <v>3</v>
      </c>
      <c r="AG16" s="26" t="s">
        <v>312</v>
      </c>
      <c r="AH16" s="26">
        <v>1</v>
      </c>
      <c r="AI16" s="26" t="s">
        <v>313</v>
      </c>
      <c r="AJ16" s="26">
        <v>1</v>
      </c>
      <c r="AK16" s="26" t="s">
        <v>314</v>
      </c>
      <c r="AL16" s="26">
        <v>1</v>
      </c>
      <c r="BA16" s="25">
        <v>810</v>
      </c>
      <c r="BB16" s="25">
        <v>40</v>
      </c>
      <c r="BC16" s="25">
        <v>850</v>
      </c>
      <c r="BD16" s="25">
        <v>900</v>
      </c>
      <c r="BF16" s="25">
        <v>850</v>
      </c>
      <c r="BG16" s="25">
        <v>850</v>
      </c>
      <c r="BI16" s="25">
        <v>40</v>
      </c>
      <c r="BJ16" s="25" t="s">
        <v>257</v>
      </c>
      <c r="BK16" s="25" t="s">
        <v>258</v>
      </c>
    </row>
    <row r="17" spans="1:63">
      <c r="A17" s="26">
        <v>16</v>
      </c>
      <c r="B17" s="26">
        <v>3433896645</v>
      </c>
      <c r="D17" s="26" t="s">
        <v>141</v>
      </c>
      <c r="E17" s="26" t="s">
        <v>247</v>
      </c>
      <c r="G17" s="26" t="s">
        <v>248</v>
      </c>
      <c r="H17" s="26">
        <v>600</v>
      </c>
      <c r="J17" s="26" t="s">
        <v>249</v>
      </c>
      <c r="L17" s="26" t="s">
        <v>189</v>
      </c>
      <c r="M17" s="26" t="s">
        <v>315</v>
      </c>
      <c r="N17" s="26" t="s">
        <v>142</v>
      </c>
      <c r="O17" s="26" t="s">
        <v>316</v>
      </c>
      <c r="Q17" s="26" t="s">
        <v>269</v>
      </c>
      <c r="S17" s="26" t="s">
        <v>305</v>
      </c>
      <c r="T17" s="26" t="s">
        <v>305</v>
      </c>
      <c r="U17" s="26" t="s">
        <v>305</v>
      </c>
      <c r="V17" s="26" t="s">
        <v>305</v>
      </c>
      <c r="W17" s="26" t="s">
        <v>253</v>
      </c>
      <c r="Y17" s="26" t="s">
        <v>254</v>
      </c>
      <c r="AF17" s="26">
        <v>2</v>
      </c>
      <c r="AG17" s="26" t="s">
        <v>314</v>
      </c>
      <c r="AH17" s="26">
        <v>1</v>
      </c>
      <c r="AI17" s="26" t="s">
        <v>317</v>
      </c>
      <c r="AJ17" s="26">
        <v>1</v>
      </c>
      <c r="BA17" s="25">
        <v>615</v>
      </c>
      <c r="BB17" s="25">
        <v>35</v>
      </c>
      <c r="BC17" s="25">
        <v>650</v>
      </c>
      <c r="BD17" s="25">
        <v>600</v>
      </c>
      <c r="BF17" s="25">
        <v>650</v>
      </c>
      <c r="BG17" s="25">
        <v>650</v>
      </c>
      <c r="BI17" s="25">
        <v>35</v>
      </c>
      <c r="BJ17" s="25" t="s">
        <v>257</v>
      </c>
      <c r="BK17" s="25" t="s">
        <v>265</v>
      </c>
    </row>
    <row r="18" spans="1:63">
      <c r="A18" s="26">
        <v>17</v>
      </c>
      <c r="B18" s="26">
        <v>3493876347</v>
      </c>
      <c r="D18" s="26" t="s">
        <v>164</v>
      </c>
      <c r="E18" s="26" t="s">
        <v>247</v>
      </c>
      <c r="G18" s="26" t="s">
        <v>248</v>
      </c>
      <c r="H18" s="26">
        <v>600</v>
      </c>
      <c r="J18" s="26" t="s">
        <v>249</v>
      </c>
      <c r="L18" s="26" t="s">
        <v>118</v>
      </c>
      <c r="M18" s="26" t="s">
        <v>309</v>
      </c>
      <c r="N18" s="26" t="s">
        <v>165</v>
      </c>
      <c r="O18" s="26" t="s">
        <v>318</v>
      </c>
      <c r="P18" s="26" t="s">
        <v>319</v>
      </c>
      <c r="Q18" s="26" t="s">
        <v>269</v>
      </c>
      <c r="S18" s="26" t="s">
        <v>305</v>
      </c>
      <c r="T18" s="26" t="s">
        <v>305</v>
      </c>
      <c r="U18" s="26" t="s">
        <v>305</v>
      </c>
      <c r="V18" s="26" t="s">
        <v>305</v>
      </c>
      <c r="W18" s="26" t="s">
        <v>253</v>
      </c>
      <c r="Y18" s="26" t="s">
        <v>254</v>
      </c>
      <c r="AF18" s="26">
        <v>2</v>
      </c>
      <c r="AG18" s="26" t="s">
        <v>320</v>
      </c>
      <c r="AH18" s="26">
        <v>1</v>
      </c>
      <c r="AI18" s="26" t="s">
        <v>321</v>
      </c>
      <c r="AJ18" s="26">
        <v>1</v>
      </c>
      <c r="BA18" s="25">
        <v>610</v>
      </c>
      <c r="BB18" s="25">
        <v>40</v>
      </c>
      <c r="BC18" s="25">
        <v>650</v>
      </c>
      <c r="BD18" s="25">
        <v>600</v>
      </c>
      <c r="BF18" s="25">
        <v>650</v>
      </c>
      <c r="BG18" s="25">
        <v>650</v>
      </c>
      <c r="BI18" s="25">
        <v>40</v>
      </c>
      <c r="BJ18" s="25" t="s">
        <v>257</v>
      </c>
      <c r="BK18" s="25" t="s">
        <v>258</v>
      </c>
    </row>
    <row r="19" spans="1:63">
      <c r="A19" s="26">
        <v>18</v>
      </c>
      <c r="B19" s="26">
        <v>7488799945</v>
      </c>
      <c r="D19" s="26" t="s">
        <v>139</v>
      </c>
      <c r="E19" s="26" t="s">
        <v>247</v>
      </c>
      <c r="G19" s="26" t="s">
        <v>248</v>
      </c>
      <c r="H19" s="26">
        <v>600</v>
      </c>
      <c r="J19" s="26" t="s">
        <v>249</v>
      </c>
      <c r="L19" s="26" t="s">
        <v>189</v>
      </c>
      <c r="M19" s="26" t="s">
        <v>322</v>
      </c>
      <c r="N19" s="26" t="s">
        <v>140</v>
      </c>
      <c r="O19" s="26" t="s">
        <v>323</v>
      </c>
      <c r="Q19" s="26" t="s">
        <v>269</v>
      </c>
      <c r="S19" s="26" t="s">
        <v>295</v>
      </c>
      <c r="T19" s="26" t="s">
        <v>295</v>
      </c>
      <c r="U19" s="26" t="s">
        <v>295</v>
      </c>
      <c r="V19" s="26" t="s">
        <v>295</v>
      </c>
      <c r="W19" s="26" t="s">
        <v>253</v>
      </c>
      <c r="Y19" s="26" t="s">
        <v>254</v>
      </c>
      <c r="AF19" s="26">
        <v>2</v>
      </c>
      <c r="AG19" s="26" t="s">
        <v>324</v>
      </c>
      <c r="AH19" s="26">
        <v>1</v>
      </c>
      <c r="AI19" s="26" t="s">
        <v>325</v>
      </c>
      <c r="AJ19" s="26">
        <v>1</v>
      </c>
      <c r="BA19" s="25">
        <v>715</v>
      </c>
      <c r="BB19" s="25">
        <v>35</v>
      </c>
      <c r="BC19" s="25">
        <v>750</v>
      </c>
      <c r="BD19" s="25">
        <v>600</v>
      </c>
      <c r="BF19" s="25">
        <v>750</v>
      </c>
      <c r="BG19" s="25">
        <v>750</v>
      </c>
      <c r="BI19" s="25">
        <v>35</v>
      </c>
      <c r="BJ19" s="25" t="s">
        <v>257</v>
      </c>
      <c r="BK19" s="25" t="s">
        <v>258</v>
      </c>
    </row>
    <row r="20" spans="1:63" s="30" customFormat="1">
      <c r="A20" s="29">
        <v>19</v>
      </c>
      <c r="B20" s="29">
        <v>3457355948</v>
      </c>
      <c r="C20" s="29"/>
      <c r="D20" s="29" t="s">
        <v>46</v>
      </c>
      <c r="E20" s="29" t="s">
        <v>275</v>
      </c>
      <c r="F20" s="29"/>
      <c r="G20" s="29" t="s">
        <v>248</v>
      </c>
      <c r="H20" s="29">
        <v>900</v>
      </c>
      <c r="I20" s="29"/>
      <c r="J20" s="29" t="s">
        <v>326</v>
      </c>
      <c r="K20" s="29"/>
      <c r="L20" s="29" t="s">
        <v>276</v>
      </c>
      <c r="M20" s="29" t="s">
        <v>277</v>
      </c>
      <c r="N20" s="29" t="s">
        <v>47</v>
      </c>
      <c r="O20" s="29" t="s">
        <v>327</v>
      </c>
      <c r="P20" s="29" t="s">
        <v>328</v>
      </c>
      <c r="Q20" s="29" t="s">
        <v>269</v>
      </c>
      <c r="R20" s="29" t="s">
        <v>269</v>
      </c>
      <c r="S20" s="29" t="s">
        <v>295</v>
      </c>
      <c r="T20" s="29" t="s">
        <v>295</v>
      </c>
      <c r="U20" s="29" t="s">
        <v>295</v>
      </c>
      <c r="V20" s="29" t="s">
        <v>295</v>
      </c>
      <c r="W20" s="29" t="s">
        <v>253</v>
      </c>
      <c r="X20" s="29"/>
      <c r="Y20" s="29" t="s">
        <v>254</v>
      </c>
      <c r="Z20" s="29" t="s">
        <v>329</v>
      </c>
      <c r="AA20" s="29"/>
      <c r="AB20" s="29"/>
      <c r="AC20" s="29"/>
      <c r="AD20" s="29"/>
      <c r="AE20" s="29"/>
      <c r="AF20" s="29">
        <v>3</v>
      </c>
      <c r="AG20" s="29" t="s">
        <v>296</v>
      </c>
      <c r="AH20" s="29">
        <v>1</v>
      </c>
      <c r="AI20" s="29" t="s">
        <v>297</v>
      </c>
      <c r="AJ20" s="29">
        <v>2</v>
      </c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BA20" s="30">
        <v>160</v>
      </c>
      <c r="BB20" s="30">
        <v>40</v>
      </c>
      <c r="BC20" s="30">
        <v>200</v>
      </c>
      <c r="BD20" s="30">
        <v>900</v>
      </c>
      <c r="BF20" s="30">
        <v>200</v>
      </c>
      <c r="BG20" s="30">
        <v>200</v>
      </c>
      <c r="BI20" s="30">
        <v>40</v>
      </c>
      <c r="BJ20" s="30" t="s">
        <v>257</v>
      </c>
    </row>
    <row r="21" spans="1:63">
      <c r="A21" s="26">
        <v>20</v>
      </c>
      <c r="B21" s="26">
        <v>7488678945</v>
      </c>
      <c r="D21" s="26" t="s">
        <v>137</v>
      </c>
      <c r="E21" s="26" t="s">
        <v>247</v>
      </c>
      <c r="G21" s="26" t="s">
        <v>248</v>
      </c>
      <c r="H21" s="26">
        <v>600</v>
      </c>
      <c r="J21" s="26" t="s">
        <v>249</v>
      </c>
      <c r="L21" s="26" t="s">
        <v>189</v>
      </c>
      <c r="M21" s="26" t="s">
        <v>272</v>
      </c>
      <c r="N21" s="26" t="s">
        <v>138</v>
      </c>
      <c r="O21" s="26" t="s">
        <v>330</v>
      </c>
      <c r="Q21" s="26" t="s">
        <v>269</v>
      </c>
      <c r="S21" s="26" t="s">
        <v>295</v>
      </c>
      <c r="T21" s="26" t="s">
        <v>295</v>
      </c>
      <c r="U21" s="26" t="s">
        <v>295</v>
      </c>
      <c r="V21" s="26" t="s">
        <v>295</v>
      </c>
      <c r="W21" s="26" t="s">
        <v>253</v>
      </c>
      <c r="Y21" s="26" t="s">
        <v>254</v>
      </c>
      <c r="AF21" s="26">
        <v>2</v>
      </c>
      <c r="AG21" s="26" t="s">
        <v>284</v>
      </c>
      <c r="AH21" s="26">
        <v>1</v>
      </c>
      <c r="AI21" s="26" t="s">
        <v>285</v>
      </c>
      <c r="AJ21" s="26">
        <v>1</v>
      </c>
      <c r="BA21" s="25">
        <v>615</v>
      </c>
      <c r="BB21" s="25">
        <v>35</v>
      </c>
      <c r="BC21" s="25">
        <v>650</v>
      </c>
      <c r="BD21" s="25">
        <v>600</v>
      </c>
      <c r="BF21" s="25">
        <v>650</v>
      </c>
      <c r="BG21" s="25">
        <v>650</v>
      </c>
      <c r="BI21" s="25">
        <v>35</v>
      </c>
      <c r="BJ21" s="25" t="s">
        <v>257</v>
      </c>
      <c r="BK21" s="25" t="s">
        <v>265</v>
      </c>
    </row>
    <row r="22" spans="1:63">
      <c r="A22" s="26">
        <v>21</v>
      </c>
      <c r="B22" s="26">
        <v>3493985847</v>
      </c>
      <c r="D22" s="26" t="s">
        <v>48</v>
      </c>
      <c r="E22" s="26" t="s">
        <v>247</v>
      </c>
      <c r="G22" s="26" t="s">
        <v>248</v>
      </c>
      <c r="H22" s="26">
        <v>600</v>
      </c>
      <c r="J22" s="26" t="s">
        <v>249</v>
      </c>
      <c r="L22" s="26" t="s">
        <v>276</v>
      </c>
      <c r="M22" s="26" t="s">
        <v>277</v>
      </c>
      <c r="N22" s="26" t="s">
        <v>49</v>
      </c>
      <c r="O22" s="26" t="s">
        <v>331</v>
      </c>
      <c r="Q22" s="26" t="s">
        <v>269</v>
      </c>
      <c r="S22" s="26" t="s">
        <v>295</v>
      </c>
      <c r="T22" s="26" t="s">
        <v>295</v>
      </c>
      <c r="U22" s="26" t="s">
        <v>295</v>
      </c>
      <c r="V22" s="26" t="s">
        <v>295</v>
      </c>
      <c r="W22" s="26" t="s">
        <v>253</v>
      </c>
      <c r="Y22" s="26" t="s">
        <v>254</v>
      </c>
      <c r="AF22" s="26">
        <v>2</v>
      </c>
      <c r="AG22" s="26" t="s">
        <v>308</v>
      </c>
      <c r="AH22" s="26">
        <v>1</v>
      </c>
      <c r="AI22" s="26" t="s">
        <v>332</v>
      </c>
      <c r="AJ22" s="26">
        <v>1</v>
      </c>
      <c r="BA22" s="25">
        <v>620</v>
      </c>
      <c r="BB22" s="25">
        <v>40</v>
      </c>
      <c r="BC22" s="25">
        <v>660</v>
      </c>
      <c r="BD22" s="25">
        <v>600</v>
      </c>
      <c r="BF22" s="25">
        <v>660</v>
      </c>
      <c r="BG22" s="25">
        <v>660</v>
      </c>
      <c r="BI22" s="25">
        <v>40</v>
      </c>
      <c r="BJ22" s="25" t="s">
        <v>257</v>
      </c>
      <c r="BK22" s="25" t="s">
        <v>258</v>
      </c>
    </row>
    <row r="23" spans="1:63">
      <c r="A23" s="26">
        <v>22</v>
      </c>
      <c r="B23" s="26">
        <v>7488666945</v>
      </c>
      <c r="D23" s="26" t="s">
        <v>166</v>
      </c>
      <c r="E23" s="26" t="s">
        <v>247</v>
      </c>
      <c r="G23" s="26" t="s">
        <v>248</v>
      </c>
      <c r="H23" s="26">
        <v>600</v>
      </c>
      <c r="J23" s="26" t="s">
        <v>249</v>
      </c>
      <c r="L23" s="26" t="s">
        <v>118</v>
      </c>
      <c r="M23" s="26" t="s">
        <v>333</v>
      </c>
      <c r="N23" s="26" t="s">
        <v>167</v>
      </c>
      <c r="O23" s="26" t="s">
        <v>334</v>
      </c>
      <c r="P23" s="26" t="s">
        <v>335</v>
      </c>
      <c r="Q23" s="26" t="s">
        <v>269</v>
      </c>
      <c r="S23" s="26" t="s">
        <v>295</v>
      </c>
      <c r="T23" s="26" t="s">
        <v>295</v>
      </c>
      <c r="U23" s="26" t="s">
        <v>295</v>
      </c>
      <c r="V23" s="26" t="s">
        <v>295</v>
      </c>
      <c r="W23" s="26" t="s">
        <v>253</v>
      </c>
      <c r="Y23" s="26" t="s">
        <v>254</v>
      </c>
      <c r="AF23" s="26">
        <v>2</v>
      </c>
      <c r="AG23" s="26" t="s">
        <v>284</v>
      </c>
      <c r="AH23" s="26">
        <v>1</v>
      </c>
      <c r="AI23" s="26" t="s">
        <v>285</v>
      </c>
      <c r="AJ23" s="26">
        <v>1</v>
      </c>
      <c r="BA23" s="25">
        <v>610</v>
      </c>
      <c r="BB23" s="25">
        <v>40</v>
      </c>
      <c r="BC23" s="25">
        <v>650</v>
      </c>
      <c r="BD23" s="25">
        <v>600</v>
      </c>
      <c r="BF23" s="25">
        <v>650</v>
      </c>
      <c r="BG23" s="25">
        <v>650</v>
      </c>
      <c r="BI23" s="25">
        <v>40</v>
      </c>
      <c r="BJ23" s="25" t="s">
        <v>257</v>
      </c>
      <c r="BK23" s="25" t="s">
        <v>265</v>
      </c>
    </row>
    <row r="24" spans="1:63">
      <c r="A24" s="26">
        <v>23</v>
      </c>
      <c r="B24" s="26">
        <v>7488685545</v>
      </c>
      <c r="D24" s="26" t="s">
        <v>50</v>
      </c>
      <c r="E24" s="26" t="s">
        <v>247</v>
      </c>
      <c r="G24" s="26" t="s">
        <v>248</v>
      </c>
      <c r="H24" s="26">
        <v>600</v>
      </c>
      <c r="J24" s="26" t="s">
        <v>249</v>
      </c>
      <c r="L24" s="26" t="s">
        <v>118</v>
      </c>
      <c r="M24" s="26" t="s">
        <v>336</v>
      </c>
      <c r="N24" s="26" t="s">
        <v>51</v>
      </c>
      <c r="O24" s="26" t="s">
        <v>337</v>
      </c>
      <c r="Q24" s="26" t="s">
        <v>295</v>
      </c>
      <c r="S24" s="26" t="s">
        <v>305</v>
      </c>
      <c r="T24" s="26" t="s">
        <v>305</v>
      </c>
      <c r="U24" s="26" t="s">
        <v>305</v>
      </c>
      <c r="V24" s="26" t="s">
        <v>305</v>
      </c>
      <c r="W24" s="26" t="s">
        <v>253</v>
      </c>
      <c r="Y24" s="26" t="s">
        <v>254</v>
      </c>
      <c r="AF24" s="26">
        <v>2</v>
      </c>
      <c r="AG24" s="26" t="s">
        <v>320</v>
      </c>
      <c r="AH24" s="26">
        <v>1</v>
      </c>
      <c r="AI24" s="26" t="s">
        <v>321</v>
      </c>
      <c r="AJ24" s="26">
        <v>1</v>
      </c>
      <c r="BA24" s="25">
        <v>610</v>
      </c>
      <c r="BB24" s="25">
        <v>40</v>
      </c>
      <c r="BC24" s="25">
        <v>650</v>
      </c>
      <c r="BD24" s="25">
        <v>600</v>
      </c>
      <c r="BF24" s="25">
        <v>650</v>
      </c>
      <c r="BG24" s="25">
        <v>650</v>
      </c>
      <c r="BI24" s="25">
        <v>40</v>
      </c>
      <c r="BJ24" s="25" t="s">
        <v>257</v>
      </c>
      <c r="BK24" s="25" t="s">
        <v>265</v>
      </c>
    </row>
    <row r="25" spans="1:63" s="28" customFormat="1">
      <c r="A25" s="27">
        <v>24</v>
      </c>
      <c r="B25" s="27">
        <v>8467569745</v>
      </c>
      <c r="C25" s="27"/>
      <c r="D25" s="27" t="s">
        <v>150</v>
      </c>
      <c r="E25" s="27" t="s">
        <v>275</v>
      </c>
      <c r="F25" s="27">
        <v>77</v>
      </c>
      <c r="G25" s="27" t="s">
        <v>338</v>
      </c>
      <c r="H25" s="27">
        <v>591</v>
      </c>
      <c r="I25" s="27">
        <v>32</v>
      </c>
      <c r="J25" s="27" t="s">
        <v>249</v>
      </c>
      <c r="K25" s="27"/>
      <c r="L25" s="27" t="s">
        <v>189</v>
      </c>
      <c r="M25" s="27" t="s">
        <v>339</v>
      </c>
      <c r="N25" s="27" t="s">
        <v>151</v>
      </c>
      <c r="O25" s="27" t="s">
        <v>340</v>
      </c>
      <c r="P25" s="27"/>
      <c r="Q25" s="27" t="s">
        <v>295</v>
      </c>
      <c r="R25" s="27"/>
      <c r="S25" s="27" t="s">
        <v>305</v>
      </c>
      <c r="T25" s="27" t="s">
        <v>305</v>
      </c>
      <c r="U25" s="27" t="s">
        <v>305</v>
      </c>
      <c r="V25" s="27" t="s">
        <v>305</v>
      </c>
      <c r="W25" s="27" t="s">
        <v>253</v>
      </c>
      <c r="X25" s="27"/>
      <c r="Y25" s="27" t="s">
        <v>254</v>
      </c>
      <c r="Z25" s="27"/>
      <c r="AA25" s="27"/>
      <c r="AB25" s="27"/>
      <c r="AC25" s="27"/>
      <c r="AD25" s="27"/>
      <c r="AE25" s="27"/>
      <c r="AF25" s="27">
        <v>2</v>
      </c>
      <c r="AG25" s="27" t="s">
        <v>341</v>
      </c>
      <c r="AH25" s="27">
        <v>1</v>
      </c>
      <c r="AI25" s="27" t="s">
        <v>342</v>
      </c>
      <c r="AJ25" s="27">
        <v>1</v>
      </c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BA25" s="28">
        <v>15</v>
      </c>
      <c r="BB25" s="28">
        <v>35</v>
      </c>
      <c r="BC25" s="28">
        <v>50</v>
      </c>
      <c r="BD25" s="28">
        <v>700</v>
      </c>
      <c r="BF25" s="28">
        <v>50</v>
      </c>
      <c r="BG25" s="28">
        <v>50</v>
      </c>
      <c r="BI25" s="28">
        <v>35</v>
      </c>
      <c r="BJ25" s="28" t="s">
        <v>257</v>
      </c>
    </row>
    <row r="26" spans="1:63">
      <c r="A26" s="26">
        <v>25</v>
      </c>
      <c r="B26" s="26">
        <v>3493958647</v>
      </c>
      <c r="D26" s="26" t="s">
        <v>171</v>
      </c>
      <c r="E26" s="26" t="s">
        <v>247</v>
      </c>
      <c r="G26" s="26" t="s">
        <v>248</v>
      </c>
      <c r="H26" s="26">
        <v>600</v>
      </c>
      <c r="J26" s="26" t="s">
        <v>249</v>
      </c>
      <c r="L26" s="26" t="s">
        <v>343</v>
      </c>
      <c r="M26" s="26" t="s">
        <v>344</v>
      </c>
      <c r="N26" s="26" t="s">
        <v>172</v>
      </c>
      <c r="O26" s="26" t="s">
        <v>345</v>
      </c>
      <c r="Q26" s="26" t="s">
        <v>295</v>
      </c>
      <c r="S26" s="26" t="s">
        <v>305</v>
      </c>
      <c r="T26" s="26" t="s">
        <v>305</v>
      </c>
      <c r="U26" s="26" t="s">
        <v>305</v>
      </c>
      <c r="V26" s="26" t="s">
        <v>305</v>
      </c>
      <c r="W26" s="26" t="s">
        <v>253</v>
      </c>
      <c r="Y26" s="26" t="s">
        <v>254</v>
      </c>
      <c r="AF26" s="26">
        <v>2</v>
      </c>
      <c r="AG26" s="26" t="s">
        <v>346</v>
      </c>
      <c r="AH26" s="26">
        <v>1</v>
      </c>
      <c r="AI26" s="26" t="s">
        <v>347</v>
      </c>
      <c r="AJ26" s="26">
        <v>1</v>
      </c>
      <c r="BA26" s="25">
        <v>665</v>
      </c>
      <c r="BB26" s="25">
        <v>35</v>
      </c>
      <c r="BC26" s="25">
        <v>700</v>
      </c>
      <c r="BD26" s="25">
        <v>600</v>
      </c>
      <c r="BF26" s="25">
        <v>700</v>
      </c>
      <c r="BG26" s="25">
        <v>700</v>
      </c>
      <c r="BI26" s="25">
        <v>35</v>
      </c>
      <c r="BJ26" s="25" t="s">
        <v>257</v>
      </c>
      <c r="BK26" s="25" t="s">
        <v>258</v>
      </c>
    </row>
    <row r="27" spans="1:63">
      <c r="A27" s="26">
        <v>26</v>
      </c>
      <c r="B27" s="26">
        <v>5475793348</v>
      </c>
      <c r="D27" s="26" t="s">
        <v>25</v>
      </c>
      <c r="E27" s="26" t="s">
        <v>247</v>
      </c>
      <c r="G27" s="26" t="s">
        <v>248</v>
      </c>
      <c r="H27" s="26">
        <v>600</v>
      </c>
      <c r="J27" s="26" t="s">
        <v>249</v>
      </c>
      <c r="L27" s="26" t="s">
        <v>118</v>
      </c>
      <c r="M27" s="26" t="s">
        <v>309</v>
      </c>
      <c r="N27" s="26" t="s">
        <v>26</v>
      </c>
      <c r="O27" s="26" t="s">
        <v>348</v>
      </c>
      <c r="P27" s="26" t="s">
        <v>348</v>
      </c>
      <c r="Q27" s="26" t="s">
        <v>295</v>
      </c>
      <c r="S27" s="26" t="s">
        <v>305</v>
      </c>
      <c r="T27" s="26" t="s">
        <v>305</v>
      </c>
      <c r="U27" s="26" t="s">
        <v>305</v>
      </c>
      <c r="V27" s="26" t="s">
        <v>305</v>
      </c>
      <c r="W27" s="26" t="s">
        <v>253</v>
      </c>
      <c r="Y27" s="26" t="s">
        <v>254</v>
      </c>
      <c r="AF27" s="26">
        <v>2</v>
      </c>
      <c r="AG27" s="26" t="s">
        <v>282</v>
      </c>
      <c r="AH27" s="26">
        <v>1</v>
      </c>
      <c r="AI27" s="26" t="s">
        <v>349</v>
      </c>
      <c r="AJ27" s="26">
        <v>1</v>
      </c>
      <c r="BA27" s="25">
        <v>610</v>
      </c>
      <c r="BB27" s="25">
        <v>40</v>
      </c>
      <c r="BC27" s="25">
        <v>650</v>
      </c>
      <c r="BD27" s="25">
        <v>600</v>
      </c>
      <c r="BF27" s="25">
        <v>650</v>
      </c>
      <c r="BG27" s="25">
        <v>650</v>
      </c>
      <c r="BI27" s="25">
        <v>40</v>
      </c>
      <c r="BJ27" s="25" t="s">
        <v>257</v>
      </c>
      <c r="BK27" s="25" t="s">
        <v>258</v>
      </c>
    </row>
    <row r="28" spans="1:63">
      <c r="A28" s="26">
        <v>27</v>
      </c>
      <c r="B28" s="26">
        <v>5475797348</v>
      </c>
      <c r="D28" s="26" t="s">
        <v>36</v>
      </c>
      <c r="E28" s="26" t="s">
        <v>247</v>
      </c>
      <c r="G28" s="26" t="s">
        <v>248</v>
      </c>
      <c r="H28" s="26">
        <v>600</v>
      </c>
      <c r="J28" s="26" t="s">
        <v>249</v>
      </c>
      <c r="L28" s="26" t="s">
        <v>118</v>
      </c>
      <c r="M28" s="26" t="s">
        <v>350</v>
      </c>
      <c r="N28" s="26" t="s">
        <v>37</v>
      </c>
      <c r="O28" s="26" t="s">
        <v>351</v>
      </c>
      <c r="P28" s="26" t="s">
        <v>351</v>
      </c>
      <c r="Q28" s="26" t="s">
        <v>295</v>
      </c>
      <c r="S28" s="26" t="s">
        <v>305</v>
      </c>
      <c r="T28" s="26" t="s">
        <v>305</v>
      </c>
      <c r="U28" s="26" t="s">
        <v>305</v>
      </c>
      <c r="V28" s="26" t="s">
        <v>305</v>
      </c>
      <c r="W28" s="26" t="s">
        <v>253</v>
      </c>
      <c r="Y28" s="26" t="s">
        <v>254</v>
      </c>
      <c r="AF28" s="26">
        <v>2</v>
      </c>
      <c r="AG28" s="26" t="s">
        <v>292</v>
      </c>
      <c r="AH28" s="26">
        <v>1</v>
      </c>
      <c r="AI28" s="26" t="s">
        <v>274</v>
      </c>
      <c r="AJ28" s="26">
        <v>1</v>
      </c>
      <c r="BA28" s="25">
        <v>610</v>
      </c>
      <c r="BB28" s="25">
        <v>40</v>
      </c>
      <c r="BC28" s="25">
        <v>650</v>
      </c>
      <c r="BD28" s="25">
        <v>600</v>
      </c>
      <c r="BF28" s="25">
        <v>650</v>
      </c>
      <c r="BG28" s="25">
        <v>650</v>
      </c>
      <c r="BI28" s="25">
        <v>40</v>
      </c>
      <c r="BJ28" s="25" t="s">
        <v>257</v>
      </c>
      <c r="BK28" s="25" t="s">
        <v>265</v>
      </c>
    </row>
    <row r="29" spans="1:63">
      <c r="A29" s="26">
        <v>28</v>
      </c>
      <c r="B29" s="26">
        <v>3457366348</v>
      </c>
      <c r="D29" s="26" t="s">
        <v>190</v>
      </c>
      <c r="E29" s="26" t="s">
        <v>247</v>
      </c>
      <c r="G29" s="26" t="s">
        <v>248</v>
      </c>
      <c r="H29" s="26">
        <v>900</v>
      </c>
      <c r="J29" s="26" t="s">
        <v>249</v>
      </c>
      <c r="L29" s="26" t="s">
        <v>118</v>
      </c>
      <c r="M29" s="26" t="s">
        <v>352</v>
      </c>
      <c r="N29" s="26" t="s">
        <v>191</v>
      </c>
      <c r="O29" s="26" t="s">
        <v>353</v>
      </c>
      <c r="P29" s="26" t="s">
        <v>353</v>
      </c>
      <c r="Q29" s="26" t="s">
        <v>295</v>
      </c>
      <c r="S29" s="26" t="s">
        <v>354</v>
      </c>
      <c r="T29" s="26" t="s">
        <v>354</v>
      </c>
      <c r="U29" s="26" t="s">
        <v>354</v>
      </c>
      <c r="V29" s="26" t="s">
        <v>354</v>
      </c>
      <c r="W29" s="26" t="s">
        <v>253</v>
      </c>
      <c r="Y29" s="26" t="s">
        <v>254</v>
      </c>
      <c r="AF29" s="26">
        <v>3</v>
      </c>
      <c r="AG29" s="26" t="s">
        <v>284</v>
      </c>
      <c r="AH29" s="26">
        <v>1</v>
      </c>
      <c r="AI29" s="26" t="s">
        <v>292</v>
      </c>
      <c r="AJ29" s="26">
        <v>1</v>
      </c>
      <c r="AK29" s="26" t="s">
        <v>285</v>
      </c>
      <c r="AL29" s="26">
        <v>1</v>
      </c>
      <c r="BA29" s="25">
        <v>810</v>
      </c>
      <c r="BB29" s="25">
        <v>40</v>
      </c>
      <c r="BC29" s="25">
        <v>850</v>
      </c>
      <c r="BD29" s="25">
        <v>900</v>
      </c>
      <c r="BF29" s="25">
        <v>850</v>
      </c>
      <c r="BG29" s="25">
        <v>850</v>
      </c>
      <c r="BI29" s="25">
        <v>40</v>
      </c>
      <c r="BJ29" s="25" t="s">
        <v>257</v>
      </c>
      <c r="BK29" s="25" t="s">
        <v>258</v>
      </c>
    </row>
    <row r="30" spans="1:63">
      <c r="A30" s="26">
        <v>29</v>
      </c>
      <c r="B30" s="26">
        <v>3493966647</v>
      </c>
      <c r="D30" s="26" t="s">
        <v>152</v>
      </c>
      <c r="E30" s="26" t="s">
        <v>247</v>
      </c>
      <c r="G30" s="26" t="s">
        <v>248</v>
      </c>
      <c r="H30" s="26">
        <v>900</v>
      </c>
      <c r="J30" s="26" t="s">
        <v>249</v>
      </c>
      <c r="L30" s="26" t="s">
        <v>276</v>
      </c>
      <c r="M30" s="26" t="s">
        <v>277</v>
      </c>
      <c r="N30" s="26" t="s">
        <v>153</v>
      </c>
      <c r="O30" s="26" t="s">
        <v>355</v>
      </c>
      <c r="P30" s="26" t="s">
        <v>356</v>
      </c>
      <c r="Q30" s="26" t="s">
        <v>295</v>
      </c>
      <c r="S30" s="26" t="s">
        <v>354</v>
      </c>
      <c r="T30" s="26" t="s">
        <v>354</v>
      </c>
      <c r="U30" s="26" t="s">
        <v>354</v>
      </c>
      <c r="V30" s="26" t="s">
        <v>354</v>
      </c>
      <c r="W30" s="26" t="s">
        <v>253</v>
      </c>
      <c r="Y30" s="26" t="s">
        <v>254</v>
      </c>
      <c r="AF30" s="26">
        <v>3</v>
      </c>
      <c r="AG30" s="26" t="s">
        <v>357</v>
      </c>
      <c r="AH30" s="26">
        <v>1</v>
      </c>
      <c r="AI30" s="26" t="s">
        <v>358</v>
      </c>
      <c r="AJ30" s="26">
        <v>1</v>
      </c>
      <c r="AK30" s="26" t="s">
        <v>308</v>
      </c>
      <c r="AL30" s="26">
        <v>1</v>
      </c>
      <c r="BA30" s="25">
        <v>810</v>
      </c>
      <c r="BB30" s="25">
        <v>40</v>
      </c>
      <c r="BC30" s="25">
        <v>850</v>
      </c>
      <c r="BD30" s="25">
        <v>900</v>
      </c>
      <c r="BF30" s="25">
        <v>850</v>
      </c>
      <c r="BG30" s="25">
        <v>850</v>
      </c>
      <c r="BI30" s="25">
        <v>40</v>
      </c>
      <c r="BJ30" s="25" t="s">
        <v>257</v>
      </c>
      <c r="BK30" s="25" t="s">
        <v>265</v>
      </c>
    </row>
    <row r="31" spans="1:63">
      <c r="A31" s="26">
        <v>30</v>
      </c>
      <c r="B31" s="26">
        <v>5475763348</v>
      </c>
      <c r="D31" s="26" t="s">
        <v>162</v>
      </c>
      <c r="E31" s="26" t="s">
        <v>247</v>
      </c>
      <c r="G31" s="26" t="s">
        <v>248</v>
      </c>
      <c r="H31" s="26">
        <v>600</v>
      </c>
      <c r="J31" s="26" t="s">
        <v>249</v>
      </c>
      <c r="L31" s="26" t="s">
        <v>118</v>
      </c>
      <c r="M31" s="26" t="s">
        <v>359</v>
      </c>
      <c r="N31" s="26" t="s">
        <v>163</v>
      </c>
      <c r="O31" s="26" t="s">
        <v>360</v>
      </c>
      <c r="P31" s="26" t="s">
        <v>360</v>
      </c>
      <c r="Q31" s="26" t="s">
        <v>305</v>
      </c>
      <c r="S31" s="26" t="s">
        <v>354</v>
      </c>
      <c r="T31" s="26" t="s">
        <v>354</v>
      </c>
      <c r="U31" s="26" t="s">
        <v>354</v>
      </c>
      <c r="V31" s="26" t="s">
        <v>354</v>
      </c>
      <c r="W31" s="26" t="s">
        <v>253</v>
      </c>
      <c r="Y31" s="26" t="s">
        <v>254</v>
      </c>
      <c r="AF31" s="26">
        <v>2</v>
      </c>
      <c r="AG31" s="26" t="s">
        <v>292</v>
      </c>
      <c r="AH31" s="26">
        <v>1</v>
      </c>
      <c r="AI31" s="26" t="s">
        <v>274</v>
      </c>
      <c r="AJ31" s="26">
        <v>1</v>
      </c>
      <c r="BA31" s="25">
        <v>610</v>
      </c>
      <c r="BB31" s="25">
        <v>40</v>
      </c>
      <c r="BC31" s="25">
        <v>650</v>
      </c>
      <c r="BD31" s="25">
        <v>600</v>
      </c>
      <c r="BF31" s="25">
        <v>650</v>
      </c>
      <c r="BG31" s="25">
        <v>650</v>
      </c>
      <c r="BI31" s="25">
        <v>40</v>
      </c>
      <c r="BJ31" s="25" t="s">
        <v>257</v>
      </c>
      <c r="BK31" s="25" t="s">
        <v>258</v>
      </c>
    </row>
    <row r="32" spans="1:63">
      <c r="A32" s="26">
        <v>31</v>
      </c>
      <c r="B32" s="26">
        <v>5475767348</v>
      </c>
      <c r="D32" s="26" t="s">
        <v>184</v>
      </c>
      <c r="E32" s="26" t="s">
        <v>247</v>
      </c>
      <c r="G32" s="26" t="s">
        <v>248</v>
      </c>
      <c r="H32" s="26">
        <v>600</v>
      </c>
      <c r="J32" s="26" t="s">
        <v>249</v>
      </c>
      <c r="L32" s="26" t="s">
        <v>189</v>
      </c>
      <c r="M32" s="26" t="s">
        <v>293</v>
      </c>
      <c r="N32" s="26" t="s">
        <v>185</v>
      </c>
      <c r="O32" s="26" t="s">
        <v>361</v>
      </c>
      <c r="P32" s="26" t="s">
        <v>361</v>
      </c>
      <c r="Q32" s="26" t="s">
        <v>305</v>
      </c>
      <c r="S32" s="26" t="s">
        <v>354</v>
      </c>
      <c r="T32" s="26" t="s">
        <v>354</v>
      </c>
      <c r="U32" s="26" t="s">
        <v>354</v>
      </c>
      <c r="V32" s="26" t="s">
        <v>354</v>
      </c>
      <c r="W32" s="26" t="s">
        <v>253</v>
      </c>
      <c r="Y32" s="26" t="s">
        <v>254</v>
      </c>
      <c r="AF32" s="26">
        <v>2</v>
      </c>
      <c r="AG32" s="26" t="s">
        <v>312</v>
      </c>
      <c r="AH32" s="26">
        <v>1</v>
      </c>
      <c r="AI32" s="26" t="s">
        <v>362</v>
      </c>
      <c r="AJ32" s="26">
        <v>1</v>
      </c>
      <c r="BA32" s="25">
        <v>615</v>
      </c>
      <c r="BB32" s="25">
        <v>35</v>
      </c>
      <c r="BC32" s="25">
        <v>650</v>
      </c>
      <c r="BD32" s="25">
        <v>600</v>
      </c>
      <c r="BF32" s="25">
        <v>650</v>
      </c>
      <c r="BG32" s="25">
        <v>650</v>
      </c>
      <c r="BI32" s="25">
        <v>35</v>
      </c>
      <c r="BJ32" s="25" t="s">
        <v>257</v>
      </c>
      <c r="BK32" s="25" t="s">
        <v>258</v>
      </c>
    </row>
    <row r="33" spans="1:63" s="28" customFormat="1">
      <c r="A33" s="27">
        <v>32</v>
      </c>
      <c r="B33" s="27">
        <v>8467793945</v>
      </c>
      <c r="C33" s="27"/>
      <c r="D33" s="27" t="s">
        <v>158</v>
      </c>
      <c r="E33" s="27" t="s">
        <v>275</v>
      </c>
      <c r="F33" s="27"/>
      <c r="G33" s="27" t="s">
        <v>248</v>
      </c>
      <c r="H33" s="27">
        <v>350</v>
      </c>
      <c r="I33" s="27"/>
      <c r="J33" s="27" t="s">
        <v>249</v>
      </c>
      <c r="K33" s="27"/>
      <c r="L33" s="27" t="s">
        <v>118</v>
      </c>
      <c r="M33" s="27" t="s">
        <v>336</v>
      </c>
      <c r="N33" s="27" t="s">
        <v>159</v>
      </c>
      <c r="O33" s="27" t="s">
        <v>363</v>
      </c>
      <c r="P33" s="27" t="s">
        <v>364</v>
      </c>
      <c r="Q33" s="27" t="s">
        <v>305</v>
      </c>
      <c r="R33" s="27"/>
      <c r="S33" s="27" t="s">
        <v>354</v>
      </c>
      <c r="T33" s="27" t="s">
        <v>354</v>
      </c>
      <c r="U33" s="27" t="s">
        <v>354</v>
      </c>
      <c r="V33" s="27" t="s">
        <v>354</v>
      </c>
      <c r="W33" s="27" t="s">
        <v>253</v>
      </c>
      <c r="X33" s="27"/>
      <c r="Y33" s="27" t="s">
        <v>254</v>
      </c>
      <c r="Z33" s="27"/>
      <c r="AA33" s="27"/>
      <c r="AB33" s="27"/>
      <c r="AC33" s="27"/>
      <c r="AD33" s="27"/>
      <c r="AE33" s="27"/>
      <c r="AF33" s="27">
        <v>1</v>
      </c>
      <c r="AG33" s="27" t="s">
        <v>365</v>
      </c>
      <c r="AH33" s="27">
        <v>1</v>
      </c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BA33" s="28">
        <v>50</v>
      </c>
      <c r="BB33" s="28">
        <v>40</v>
      </c>
      <c r="BC33" s="28">
        <v>90</v>
      </c>
      <c r="BD33" s="28">
        <v>350</v>
      </c>
      <c r="BF33" s="28">
        <v>90</v>
      </c>
      <c r="BG33" s="28">
        <v>90</v>
      </c>
      <c r="BI33" s="28">
        <v>40</v>
      </c>
      <c r="BJ33" s="28" t="s">
        <v>257</v>
      </c>
    </row>
    <row r="34" spans="1:63">
      <c r="A34" s="26">
        <v>33</v>
      </c>
      <c r="B34" s="26">
        <v>5475579948</v>
      </c>
      <c r="D34" s="26" t="s">
        <v>156</v>
      </c>
      <c r="E34" s="26" t="s">
        <v>247</v>
      </c>
      <c r="G34" s="26" t="s">
        <v>248</v>
      </c>
      <c r="H34" s="26">
        <v>600</v>
      </c>
      <c r="J34" s="26" t="s">
        <v>249</v>
      </c>
      <c r="L34" s="26" t="s">
        <v>118</v>
      </c>
      <c r="M34" s="26" t="s">
        <v>336</v>
      </c>
      <c r="N34" s="26" t="s">
        <v>157</v>
      </c>
      <c r="O34" s="26" t="s">
        <v>366</v>
      </c>
      <c r="P34" s="26" t="s">
        <v>366</v>
      </c>
      <c r="Q34" s="26" t="s">
        <v>305</v>
      </c>
      <c r="S34" s="26" t="s">
        <v>354</v>
      </c>
      <c r="T34" s="26" t="s">
        <v>354</v>
      </c>
      <c r="U34" s="26" t="s">
        <v>354</v>
      </c>
      <c r="V34" s="26" t="s">
        <v>354</v>
      </c>
      <c r="W34" s="26" t="s">
        <v>253</v>
      </c>
      <c r="Y34" s="26" t="s">
        <v>254</v>
      </c>
      <c r="AF34" s="26">
        <v>2</v>
      </c>
      <c r="AG34" s="26" t="s">
        <v>367</v>
      </c>
      <c r="AH34" s="26">
        <v>1</v>
      </c>
      <c r="AI34" s="26" t="s">
        <v>368</v>
      </c>
      <c r="AJ34" s="26">
        <v>1</v>
      </c>
      <c r="BA34" s="25">
        <v>610</v>
      </c>
      <c r="BB34" s="25">
        <v>40</v>
      </c>
      <c r="BC34" s="25">
        <v>650</v>
      </c>
      <c r="BD34" s="25">
        <v>600</v>
      </c>
      <c r="BF34" s="25">
        <v>650</v>
      </c>
      <c r="BG34" s="25">
        <v>650</v>
      </c>
      <c r="BI34" s="25">
        <v>40</v>
      </c>
      <c r="BJ34" s="25" t="s">
        <v>257</v>
      </c>
      <c r="BK34" s="25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F13" sqref="F13"/>
    </sheetView>
  </sheetViews>
  <sheetFormatPr defaultRowHeight="15"/>
  <cols>
    <col min="1" max="1" width="23.85546875" style="26" bestFit="1" customWidth="1"/>
    <col min="2" max="2" width="18.7109375" style="26" bestFit="1" customWidth="1"/>
    <col min="3" max="3" width="14.28515625" style="26" bestFit="1" customWidth="1"/>
    <col min="4" max="4" width="18.7109375" style="26" bestFit="1" customWidth="1"/>
    <col min="6" max="6" width="11.5703125" bestFit="1" customWidth="1"/>
    <col min="7" max="7" width="15.5703125" bestFit="1" customWidth="1"/>
  </cols>
  <sheetData>
    <row r="1" spans="1:7" s="18" customFormat="1" ht="18">
      <c r="A1" s="26"/>
      <c r="B1" s="26"/>
      <c r="C1" s="26"/>
      <c r="D1" s="35" t="s">
        <v>379</v>
      </c>
      <c r="E1" s="35"/>
      <c r="F1" s="35"/>
      <c r="G1" s="35"/>
    </row>
    <row r="2" spans="1:7" ht="18">
      <c r="A2" s="23" t="s">
        <v>223</v>
      </c>
      <c r="B2" s="23" t="s">
        <v>224</v>
      </c>
      <c r="C2" s="23" t="s">
        <v>225</v>
      </c>
      <c r="D2" s="23" t="s">
        <v>376</v>
      </c>
      <c r="E2" s="23" t="s">
        <v>375</v>
      </c>
      <c r="F2" s="23" t="s">
        <v>377</v>
      </c>
      <c r="G2" s="23" t="s">
        <v>378</v>
      </c>
    </row>
    <row r="3" spans="1:7">
      <c r="A3" s="26">
        <v>2</v>
      </c>
      <c r="B3" s="26" t="s">
        <v>369</v>
      </c>
      <c r="C3" s="26">
        <v>1</v>
      </c>
      <c r="D3" s="26" t="s">
        <v>369</v>
      </c>
      <c r="E3">
        <f t="shared" ref="E3:E8" si="0">SUMIFS(C:C,B:B,D3)</f>
        <v>4</v>
      </c>
      <c r="F3">
        <v>170</v>
      </c>
      <c r="G3">
        <f>E3*F3</f>
        <v>680</v>
      </c>
    </row>
    <row r="4" spans="1:7">
      <c r="A4" s="26">
        <v>2</v>
      </c>
      <c r="B4" s="26" t="s">
        <v>370</v>
      </c>
      <c r="C4" s="26">
        <v>1</v>
      </c>
      <c r="D4" s="26" t="s">
        <v>370</v>
      </c>
      <c r="E4" s="18">
        <f t="shared" si="0"/>
        <v>2</v>
      </c>
      <c r="F4">
        <v>170</v>
      </c>
      <c r="G4" s="18">
        <f t="shared" ref="G4:G8" si="1">E4*F4</f>
        <v>340</v>
      </c>
    </row>
    <row r="5" spans="1:7">
      <c r="A5" s="26">
        <v>2</v>
      </c>
      <c r="B5" s="26" t="s">
        <v>371</v>
      </c>
      <c r="C5" s="26">
        <v>1</v>
      </c>
      <c r="D5" s="26" t="s">
        <v>371</v>
      </c>
      <c r="E5" s="18">
        <f t="shared" si="0"/>
        <v>28</v>
      </c>
      <c r="F5">
        <v>155</v>
      </c>
      <c r="G5" s="18">
        <f t="shared" si="1"/>
        <v>4340</v>
      </c>
    </row>
    <row r="6" spans="1:7">
      <c r="A6" s="26">
        <v>2</v>
      </c>
      <c r="B6" s="26" t="s">
        <v>371</v>
      </c>
      <c r="C6" s="26">
        <v>1</v>
      </c>
      <c r="D6" s="26" t="s">
        <v>372</v>
      </c>
      <c r="E6" s="18">
        <f t="shared" si="0"/>
        <v>14</v>
      </c>
      <c r="F6">
        <v>155</v>
      </c>
      <c r="G6" s="18">
        <f t="shared" si="1"/>
        <v>2170</v>
      </c>
    </row>
    <row r="7" spans="1:7">
      <c r="A7" s="27">
        <v>0</v>
      </c>
      <c r="B7" s="26" t="s">
        <v>372</v>
      </c>
      <c r="C7" s="26">
        <v>1</v>
      </c>
      <c r="D7" s="26" t="s">
        <v>373</v>
      </c>
      <c r="E7" s="18">
        <f t="shared" si="0"/>
        <v>14</v>
      </c>
      <c r="F7">
        <v>165</v>
      </c>
      <c r="G7" s="18">
        <f t="shared" si="1"/>
        <v>2310</v>
      </c>
    </row>
    <row r="8" spans="1:7">
      <c r="A8" s="26">
        <v>4</v>
      </c>
      <c r="B8" s="26" t="s">
        <v>371</v>
      </c>
      <c r="C8" s="26">
        <v>1</v>
      </c>
      <c r="D8" s="26" t="s">
        <v>374</v>
      </c>
      <c r="E8" s="18">
        <f t="shared" si="0"/>
        <v>2</v>
      </c>
      <c r="F8">
        <v>220</v>
      </c>
      <c r="G8" s="18">
        <f t="shared" si="1"/>
        <v>440</v>
      </c>
    </row>
    <row r="9" spans="1:7" ht="15.75">
      <c r="A9" s="26">
        <v>2</v>
      </c>
      <c r="B9" s="26" t="s">
        <v>371</v>
      </c>
      <c r="C9" s="26">
        <v>1</v>
      </c>
      <c r="D9"/>
      <c r="E9" s="36">
        <f>SUM(E3:E8)</f>
        <v>64</v>
      </c>
      <c r="G9" s="36">
        <f>SUM(G3:G8)</f>
        <v>10280</v>
      </c>
    </row>
    <row r="10" spans="1:7">
      <c r="A10" s="26">
        <v>2</v>
      </c>
      <c r="B10" s="26" t="s">
        <v>371</v>
      </c>
      <c r="C10" s="26">
        <v>1</v>
      </c>
      <c r="D10"/>
    </row>
    <row r="11" spans="1:7">
      <c r="A11" s="26">
        <v>2</v>
      </c>
      <c r="B11" s="26" t="s">
        <v>373</v>
      </c>
      <c r="C11" s="26">
        <v>1</v>
      </c>
      <c r="D11"/>
    </row>
    <row r="12" spans="1:7">
      <c r="A12" s="26">
        <v>3</v>
      </c>
      <c r="B12" s="26" t="s">
        <v>373</v>
      </c>
      <c r="C12" s="26">
        <v>1</v>
      </c>
      <c r="D12"/>
    </row>
    <row r="13" spans="1:7">
      <c r="A13" s="26">
        <v>1</v>
      </c>
      <c r="B13" s="26" t="s">
        <v>373</v>
      </c>
      <c r="C13" s="26">
        <v>1</v>
      </c>
      <c r="D13"/>
    </row>
    <row r="14" spans="1:7">
      <c r="A14" s="26">
        <v>2</v>
      </c>
      <c r="B14" s="26" t="s">
        <v>371</v>
      </c>
      <c r="C14" s="26">
        <v>1</v>
      </c>
      <c r="D14"/>
    </row>
    <row r="15" spans="1:7">
      <c r="A15" s="26">
        <v>1</v>
      </c>
      <c r="B15" s="26" t="s">
        <v>372</v>
      </c>
      <c r="C15" s="26">
        <v>3</v>
      </c>
      <c r="D15"/>
    </row>
    <row r="16" spans="1:7">
      <c r="A16" s="26">
        <v>3</v>
      </c>
      <c r="B16" s="26" t="s">
        <v>373</v>
      </c>
      <c r="C16" s="26">
        <v>1</v>
      </c>
      <c r="D16"/>
    </row>
    <row r="17" spans="1:4">
      <c r="A17" s="26">
        <v>3</v>
      </c>
      <c r="B17" s="26" t="s">
        <v>373</v>
      </c>
      <c r="C17" s="26">
        <v>1</v>
      </c>
      <c r="D17"/>
    </row>
    <row r="18" spans="1:4">
      <c r="A18" s="26">
        <v>2</v>
      </c>
      <c r="B18" s="26" t="s">
        <v>371</v>
      </c>
      <c r="C18" s="26">
        <v>1</v>
      </c>
      <c r="D18"/>
    </row>
    <row r="19" spans="1:4">
      <c r="A19" s="26">
        <v>2</v>
      </c>
      <c r="B19" s="26" t="s">
        <v>374</v>
      </c>
      <c r="C19" s="26">
        <v>1</v>
      </c>
      <c r="D19"/>
    </row>
    <row r="20" spans="1:4">
      <c r="A20" s="26">
        <v>2</v>
      </c>
      <c r="B20" s="26" t="s">
        <v>371</v>
      </c>
      <c r="C20" s="26">
        <v>1</v>
      </c>
      <c r="D20"/>
    </row>
    <row r="21" spans="1:4">
      <c r="A21" s="29">
        <v>1</v>
      </c>
      <c r="B21" s="26" t="s">
        <v>372</v>
      </c>
      <c r="C21" s="26">
        <v>1</v>
      </c>
      <c r="D21"/>
    </row>
    <row r="22" spans="1:4">
      <c r="A22" s="26">
        <v>2</v>
      </c>
      <c r="B22" s="26" t="s">
        <v>371</v>
      </c>
      <c r="C22" s="26">
        <v>1</v>
      </c>
      <c r="D22"/>
    </row>
    <row r="23" spans="1:4">
      <c r="A23" s="26">
        <v>2</v>
      </c>
      <c r="B23" s="26" t="s">
        <v>371</v>
      </c>
      <c r="C23" s="26">
        <v>1</v>
      </c>
      <c r="D23"/>
    </row>
    <row r="24" spans="1:4">
      <c r="A24" s="26">
        <v>2</v>
      </c>
      <c r="B24" s="26" t="s">
        <v>369</v>
      </c>
      <c r="C24" s="26">
        <v>1</v>
      </c>
      <c r="D24"/>
    </row>
    <row r="25" spans="1:4">
      <c r="A25" s="26">
        <v>2</v>
      </c>
      <c r="B25" s="26" t="s">
        <v>372</v>
      </c>
      <c r="C25" s="26">
        <v>1</v>
      </c>
      <c r="D25"/>
    </row>
    <row r="26" spans="1:4">
      <c r="A26" s="27">
        <v>0</v>
      </c>
      <c r="B26" s="26" t="s">
        <v>371</v>
      </c>
      <c r="C26" s="26">
        <v>1</v>
      </c>
      <c r="D26"/>
    </row>
    <row r="27" spans="1:4">
      <c r="A27" s="26">
        <v>2</v>
      </c>
      <c r="B27" s="26" t="s">
        <v>371</v>
      </c>
      <c r="C27" s="26">
        <v>1</v>
      </c>
      <c r="D27"/>
    </row>
    <row r="28" spans="1:4">
      <c r="A28" s="26">
        <v>2</v>
      </c>
      <c r="B28" s="26" t="s">
        <v>372</v>
      </c>
      <c r="C28" s="26">
        <v>1</v>
      </c>
      <c r="D28"/>
    </row>
    <row r="29" spans="1:4">
      <c r="A29" s="26">
        <v>2</v>
      </c>
      <c r="B29" s="26" t="s">
        <v>371</v>
      </c>
      <c r="C29" s="26">
        <v>1</v>
      </c>
      <c r="D29"/>
    </row>
    <row r="30" spans="1:4">
      <c r="A30" s="26">
        <v>3</v>
      </c>
      <c r="B30" s="26" t="s">
        <v>373</v>
      </c>
      <c r="C30" s="26">
        <v>1</v>
      </c>
      <c r="D30"/>
    </row>
    <row r="31" spans="1:4">
      <c r="A31" s="26">
        <v>3</v>
      </c>
      <c r="B31" s="26" t="s">
        <v>372</v>
      </c>
      <c r="C31" s="26">
        <v>1</v>
      </c>
      <c r="D31"/>
    </row>
    <row r="32" spans="1:4">
      <c r="A32" s="26">
        <v>2</v>
      </c>
      <c r="B32" s="26" t="s">
        <v>369</v>
      </c>
      <c r="C32" s="26">
        <v>1</v>
      </c>
      <c r="D32"/>
    </row>
    <row r="33" spans="1:4">
      <c r="A33" s="26">
        <v>2</v>
      </c>
      <c r="B33" s="26" t="s">
        <v>370</v>
      </c>
      <c r="C33" s="26">
        <v>1</v>
      </c>
      <c r="D33"/>
    </row>
    <row r="34" spans="1:4">
      <c r="A34" s="27">
        <v>0</v>
      </c>
      <c r="B34" s="26" t="s">
        <v>371</v>
      </c>
      <c r="C34" s="26">
        <v>1</v>
      </c>
      <c r="D34"/>
    </row>
    <row r="35" spans="1:4">
      <c r="A35" s="26">
        <v>2</v>
      </c>
      <c r="B35" s="26" t="s">
        <v>371</v>
      </c>
      <c r="C35" s="26">
        <v>1</v>
      </c>
      <c r="D35"/>
    </row>
    <row r="36" spans="1:4">
      <c r="B36" s="26" t="s">
        <v>372</v>
      </c>
      <c r="C36" s="26">
        <v>1</v>
      </c>
      <c r="D36"/>
    </row>
    <row r="37" spans="1:4">
      <c r="B37" s="26" t="s">
        <v>371</v>
      </c>
      <c r="C37" s="26">
        <v>1</v>
      </c>
      <c r="D37"/>
    </row>
    <row r="38" spans="1:4">
      <c r="B38" s="26" t="s">
        <v>371</v>
      </c>
      <c r="C38" s="26">
        <v>1</v>
      </c>
      <c r="D38"/>
    </row>
    <row r="39" spans="1:4">
      <c r="B39" s="26" t="s">
        <v>371</v>
      </c>
      <c r="C39" s="26">
        <v>1</v>
      </c>
      <c r="D39"/>
    </row>
    <row r="40" spans="1:4">
      <c r="B40" s="26" t="s">
        <v>373</v>
      </c>
      <c r="C40" s="26">
        <v>1</v>
      </c>
      <c r="D40"/>
    </row>
    <row r="41" spans="1:4">
      <c r="B41" s="26" t="s">
        <v>373</v>
      </c>
      <c r="C41" s="26">
        <v>1</v>
      </c>
      <c r="D41"/>
    </row>
    <row r="42" spans="1:4">
      <c r="B42" s="26" t="s">
        <v>373</v>
      </c>
      <c r="C42" s="26">
        <v>1</v>
      </c>
      <c r="D42"/>
    </row>
    <row r="43" spans="1:4">
      <c r="B43" s="26" t="s">
        <v>373</v>
      </c>
      <c r="C43" s="26">
        <v>1</v>
      </c>
      <c r="D43"/>
    </row>
    <row r="44" spans="1:4">
      <c r="B44" s="26" t="s">
        <v>371</v>
      </c>
      <c r="C44" s="26">
        <v>1</v>
      </c>
      <c r="D44"/>
    </row>
    <row r="45" spans="1:4">
      <c r="B45" s="26" t="s">
        <v>374</v>
      </c>
      <c r="C45" s="26">
        <v>1</v>
      </c>
      <c r="D45"/>
    </row>
    <row r="46" spans="1:4">
      <c r="B46" s="29" t="s">
        <v>373</v>
      </c>
      <c r="C46" s="29">
        <v>1</v>
      </c>
      <c r="D46"/>
    </row>
    <row r="47" spans="1:4">
      <c r="B47" s="26" t="s">
        <v>371</v>
      </c>
      <c r="C47" s="26">
        <v>1</v>
      </c>
      <c r="D47"/>
    </row>
    <row r="48" spans="1:4">
      <c r="B48" s="26" t="s">
        <v>372</v>
      </c>
      <c r="C48" s="26">
        <v>1</v>
      </c>
      <c r="D48"/>
    </row>
    <row r="49" spans="2:4">
      <c r="B49" s="26" t="s">
        <v>371</v>
      </c>
      <c r="C49" s="26">
        <v>1</v>
      </c>
      <c r="D49"/>
    </row>
    <row r="50" spans="2:4">
      <c r="B50" s="26" t="s">
        <v>371</v>
      </c>
      <c r="C50" s="26">
        <v>1</v>
      </c>
      <c r="D50"/>
    </row>
    <row r="51" spans="2:4">
      <c r="B51" s="26" t="s">
        <v>369</v>
      </c>
      <c r="C51" s="26">
        <v>1</v>
      </c>
      <c r="D51"/>
    </row>
    <row r="52" spans="2:4">
      <c r="B52" s="26" t="s">
        <v>372</v>
      </c>
      <c r="C52" s="26">
        <v>1</v>
      </c>
      <c r="D52"/>
    </row>
    <row r="53" spans="2:4">
      <c r="B53" s="26" t="s">
        <v>371</v>
      </c>
      <c r="C53" s="26">
        <v>1</v>
      </c>
      <c r="D53"/>
    </row>
    <row r="54" spans="2:4">
      <c r="B54" s="26" t="s">
        <v>371</v>
      </c>
      <c r="C54" s="26">
        <v>1</v>
      </c>
      <c r="D54"/>
    </row>
    <row r="55" spans="2:4">
      <c r="B55" s="26" t="s">
        <v>372</v>
      </c>
      <c r="C55" s="26">
        <v>1</v>
      </c>
      <c r="D55"/>
    </row>
    <row r="56" spans="2:4">
      <c r="B56" s="26" t="s">
        <v>371</v>
      </c>
      <c r="C56" s="26">
        <v>1</v>
      </c>
      <c r="D56"/>
    </row>
    <row r="57" spans="2:4">
      <c r="B57" s="26" t="s">
        <v>373</v>
      </c>
      <c r="C57" s="26">
        <v>1</v>
      </c>
      <c r="D57"/>
    </row>
    <row r="58" spans="2:4">
      <c r="B58" s="26" t="s">
        <v>372</v>
      </c>
      <c r="C58" s="26">
        <v>1</v>
      </c>
      <c r="D58"/>
    </row>
    <row r="59" spans="2:4">
      <c r="B59" s="26" t="s">
        <v>371</v>
      </c>
      <c r="C59" s="26">
        <v>1</v>
      </c>
      <c r="D59"/>
    </row>
    <row r="60" spans="2:4">
      <c r="B60" s="26" t="s">
        <v>373</v>
      </c>
      <c r="C60" s="26">
        <v>1</v>
      </c>
      <c r="D60"/>
    </row>
    <row r="61" spans="2:4">
      <c r="B61" s="26" t="s">
        <v>373</v>
      </c>
      <c r="C61" s="26">
        <v>1</v>
      </c>
      <c r="D61"/>
    </row>
    <row r="62" spans="2:4">
      <c r="B62" s="26" t="s">
        <v>371</v>
      </c>
      <c r="C62" s="26">
        <v>1</v>
      </c>
      <c r="D62"/>
    </row>
    <row r="63" spans="2:4">
      <c r="B63" s="26" t="s">
        <v>372</v>
      </c>
      <c r="C63" s="26">
        <v>1</v>
      </c>
      <c r="D63"/>
    </row>
    <row r="64" spans="2:4">
      <c r="B64" s="26" t="s">
        <v>371</v>
      </c>
      <c r="C64" s="26">
        <v>1</v>
      </c>
      <c r="D64"/>
    </row>
  </sheetData>
  <mergeCells count="1"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من شركة الشحن</vt:lpstr>
      <vt:lpstr>اوردر تسليمات</vt:lpstr>
      <vt:lpstr>قطع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ecss</dc:creator>
  <cp:lastModifiedBy>ENG-Amira</cp:lastModifiedBy>
  <dcterms:created xsi:type="dcterms:W3CDTF">2025-12-09T08:04:46Z</dcterms:created>
  <dcterms:modified xsi:type="dcterms:W3CDTF">2025-12-10T16:17:14Z</dcterms:modified>
</cp:coreProperties>
</file>