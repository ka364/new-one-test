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الموازنه التقدرية " sheetId="1" r:id="rId1"/>
    <sheet name="18K PAIR" sheetId="4" r:id="rId2"/>
    <sheet name="اجمالي" sheetId="6" r:id="rId3"/>
    <sheet name="انتاجيات شهور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D7" i="2"/>
  <c r="C7" i="2"/>
  <c r="B7" i="2"/>
  <c r="F7" i="2" s="1"/>
  <c r="F6" i="2"/>
  <c r="F5" i="2"/>
  <c r="F4" i="2"/>
  <c r="F3" i="2"/>
  <c r="F2" i="2"/>
  <c r="B17" i="6"/>
  <c r="I22" i="4"/>
  <c r="H22" i="4"/>
  <c r="G22" i="4"/>
  <c r="F22" i="4"/>
  <c r="E22" i="4"/>
  <c r="D22" i="4"/>
  <c r="C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K22" i="4" s="1"/>
  <c r="J15" i="4"/>
  <c r="J22" i="4" s="1"/>
  <c r="K14" i="4"/>
  <c r="J14" i="4"/>
  <c r="K13" i="4"/>
  <c r="J13" i="4"/>
  <c r="K12" i="4"/>
  <c r="J12" i="4"/>
  <c r="K11" i="4"/>
  <c r="J11" i="4"/>
  <c r="K10" i="4"/>
  <c r="J10" i="4"/>
  <c r="K9" i="4"/>
  <c r="J9" i="4"/>
  <c r="K22" i="1"/>
  <c r="J22" i="1"/>
  <c r="I22" i="1"/>
  <c r="H22" i="1"/>
  <c r="G22" i="1"/>
  <c r="F22" i="1"/>
  <c r="E22" i="1"/>
  <c r="D22" i="1"/>
  <c r="C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</calcChain>
</file>

<file path=xl/sharedStrings.xml><?xml version="1.0" encoding="utf-8"?>
<sst xmlns="http://schemas.openxmlformats.org/spreadsheetml/2006/main" count="107" uniqueCount="47">
  <si>
    <t>الشهر</t>
  </si>
  <si>
    <t>الأسبوع الأول</t>
  </si>
  <si>
    <t>الأسبوع الثاني</t>
  </si>
  <si>
    <t>الأسبوع الثالث</t>
  </si>
  <si>
    <t>الأسبوع الرابع</t>
  </si>
  <si>
    <t>يناير</t>
  </si>
  <si>
    <t>فبراير</t>
  </si>
  <si>
    <t>مارس</t>
  </si>
  <si>
    <t>أبريل</t>
  </si>
  <si>
    <t>مايو</t>
  </si>
  <si>
    <t>جمالي</t>
  </si>
  <si>
    <t>ميزانية الشركة</t>
  </si>
  <si>
    <t>تاريخ البدء</t>
  </si>
  <si>
    <t>21/6/2025</t>
  </si>
  <si>
    <t xml:space="preserve"> طول الفترة</t>
  </si>
  <si>
    <t>(21-27)</t>
  </si>
  <si>
    <t xml:space="preserve"> (28/4)</t>
  </si>
  <si>
    <t>(5-11)</t>
  </si>
  <si>
    <t>(12-18)</t>
  </si>
  <si>
    <t>(19-25)</t>
  </si>
  <si>
    <t>(26-1)</t>
  </si>
  <si>
    <t xml:space="preserve">الاسبوع الاول </t>
  </si>
  <si>
    <t xml:space="preserve">الاسبوع الثاني </t>
  </si>
  <si>
    <t>الاسبوع الثالث</t>
  </si>
  <si>
    <t>الاسبوع الرابع</t>
  </si>
  <si>
    <t xml:space="preserve">الاسبوع الخامس </t>
  </si>
  <si>
    <t>الاسبوع السادس</t>
  </si>
  <si>
    <t>مبالغ احطياتيه</t>
  </si>
  <si>
    <t>اجمالي</t>
  </si>
  <si>
    <t xml:space="preserve">اجمالي بعد الاحتياطي </t>
  </si>
  <si>
    <t>الاتجاه</t>
  </si>
  <si>
    <t>المصاريف</t>
  </si>
  <si>
    <t>الأجور</t>
  </si>
  <si>
    <t>الإيجار</t>
  </si>
  <si>
    <t>اجور بالانتاجية</t>
  </si>
  <si>
    <t xml:space="preserve">اقساط قروض </t>
  </si>
  <si>
    <t xml:space="preserve">شيكات </t>
  </si>
  <si>
    <t xml:space="preserve">دفعات للموردين </t>
  </si>
  <si>
    <t>مشتريات مواد خام</t>
  </si>
  <si>
    <t xml:space="preserve">نقل </t>
  </si>
  <si>
    <t>صيانة وتطوير</t>
  </si>
  <si>
    <t>مشتريات الصاينه والتطوير</t>
  </si>
  <si>
    <t>تامينات</t>
  </si>
  <si>
    <t>مصرفات عموميه</t>
  </si>
  <si>
    <t>بيعيه وتسوقيه</t>
  </si>
  <si>
    <t>إجمالي المصاريف</t>
  </si>
  <si>
    <t>انتاج الشهر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</si>
</sst>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/mm/dd"/>
    <numFmt numFmtId="165" formatCode="[$-409]d\-mmm;@"/>
    <numFmt numFmtId="166" formatCode="#,##0.00\ [$ج.م.‏-C01]"/>
    <numFmt numFmtId="167" formatCode="#,##0.00\ [$ج.م.‏-C01];[Red]#,##0.00\ [$ج.م.‏-C01]"/>
    <numFmt numFmtId="168" formatCode="#,##0.00_-;[Red]#,##0.00\-"/>
    <numFmt numFmtId="169" formatCode="#,##0\ [$ج.م.‏-C01]"/>
    <numFmt numFmtId="170" formatCode="#,##0\ [$ج.م.‏-C01];[Red]#,##0\ [$ج.م.‏-C01]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8"/>
      <color theme="1"/>
      <name val="Calibri"/>
      <family val="2"/>
      <scheme val="minor"/>
    </font>
    <font>
      <sz val="10"/>
      <name val="Tahoma"/>
      <family val="2"/>
    </font>
    <font>
      <b/>
      <i/>
      <sz val="32"/>
      <color theme="4" tint="0.79995117038483843"/>
      <name val="Tahoma"/>
      <family val="2"/>
    </font>
    <font>
      <sz val="10"/>
      <color theme="4" tint="0.79998168889431442"/>
      <name val="Tahoma"/>
      <family val="2"/>
    </font>
    <font>
      <sz val="14"/>
      <color theme="0"/>
      <name val="Tahoma"/>
      <family val="2"/>
    </font>
    <font>
      <b/>
      <sz val="11"/>
      <color theme="3"/>
      <name val="Tahoma"/>
      <family val="2"/>
    </font>
    <font>
      <b/>
      <sz val="11"/>
      <color theme="4" tint="0.79998168889431442"/>
      <name val="Tahoma"/>
      <family val="2"/>
    </font>
    <font>
      <b/>
      <sz val="9"/>
      <color theme="4" tint="0.79998168889431442"/>
      <name val="Tahoma"/>
      <family val="2"/>
    </font>
    <font>
      <b/>
      <i/>
      <sz val="16"/>
      <color theme="4" tint="0.79998168889431442"/>
      <name val="Tahoma"/>
      <family val="2"/>
    </font>
    <font>
      <b/>
      <sz val="10"/>
      <color theme="4" tint="0.79998168889431442"/>
      <name val="Tahoma"/>
      <family val="2"/>
    </font>
    <font>
      <b/>
      <sz val="14"/>
      <color theme="0"/>
      <name val="Tahoma"/>
      <family val="2"/>
    </font>
    <font>
      <b/>
      <sz val="10"/>
      <name val="Tahoma"/>
      <family val="2"/>
    </font>
    <font>
      <b/>
      <sz val="10"/>
      <color rgb="FFFFFF00"/>
      <name val="Tahoma"/>
      <family val="2"/>
    </font>
    <font>
      <b/>
      <sz val="8"/>
      <color theme="4" tint="0.79998168889431442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 Black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2" borderId="1" xfId="0" applyNumberFormat="1" applyFont="1" applyFill="1" applyBorder="1"/>
    <xf numFmtId="0" fontId="4" fillId="3" borderId="1" xfId="0" applyFont="1" applyFill="1" applyBorder="1"/>
    <xf numFmtId="0" fontId="4" fillId="3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6" fillId="4" borderId="0" xfId="0" applyFont="1" applyFill="1" applyAlignment="1">
      <alignment horizontal="right" readingOrder="2"/>
    </xf>
    <xf numFmtId="0" fontId="7" fillId="4" borderId="0" xfId="3" applyFont="1" applyFill="1" applyAlignment="1">
      <alignment horizontal="right" readingOrder="2"/>
    </xf>
    <xf numFmtId="0" fontId="8" fillId="4" borderId="0" xfId="0" applyFont="1" applyFill="1" applyAlignment="1">
      <alignment horizontal="right" readingOrder="2"/>
    </xf>
    <xf numFmtId="0" fontId="8" fillId="4" borderId="0" xfId="0" applyFont="1" applyFill="1" applyBorder="1" applyAlignment="1">
      <alignment horizontal="right" vertical="center" readingOrder="2"/>
    </xf>
    <xf numFmtId="164" fontId="8" fillId="4" borderId="2" xfId="0" applyNumberFormat="1" applyFont="1" applyFill="1" applyBorder="1" applyAlignment="1">
      <alignment horizontal="right" vertical="center" readingOrder="2"/>
    </xf>
    <xf numFmtId="14" fontId="8" fillId="4" borderId="2" xfId="0" applyNumberFormat="1" applyFont="1" applyFill="1" applyBorder="1" applyAlignment="1">
      <alignment horizontal="right" vertical="center" readingOrder="2"/>
    </xf>
    <xf numFmtId="0" fontId="6" fillId="4" borderId="0" xfId="0" applyFont="1" applyFill="1" applyAlignment="1">
      <alignment horizontal="right" vertical="center" readingOrder="2"/>
    </xf>
    <xf numFmtId="0" fontId="8" fillId="4" borderId="0" xfId="0" applyFont="1" applyFill="1" applyAlignment="1">
      <alignment horizontal="right" vertical="center" readingOrder="2"/>
    </xf>
    <xf numFmtId="0" fontId="9" fillId="4" borderId="0" xfId="0" applyFont="1" applyFill="1" applyAlignment="1">
      <alignment horizontal="right" readingOrder="2"/>
    </xf>
    <xf numFmtId="0" fontId="10" fillId="4" borderId="0" xfId="0" applyFont="1" applyFill="1" applyAlignment="1">
      <alignment horizontal="right" vertical="center" readingOrder="2"/>
    </xf>
    <xf numFmtId="165" fontId="11" fillId="4" borderId="0" xfId="0" applyNumberFormat="1" applyFont="1" applyFill="1" applyAlignment="1">
      <alignment horizontal="right" vertical="center" readingOrder="2"/>
    </xf>
    <xf numFmtId="165" fontId="11" fillId="4" borderId="0" xfId="0" applyNumberFormat="1" applyFont="1" applyFill="1" applyBorder="1" applyAlignment="1">
      <alignment horizontal="right" vertical="center" readingOrder="2"/>
    </xf>
    <xf numFmtId="165" fontId="12" fillId="4" borderId="0" xfId="0" applyNumberFormat="1" applyFont="1" applyFill="1" applyAlignment="1">
      <alignment horizontal="right" vertical="center" readingOrder="2"/>
    </xf>
    <xf numFmtId="0" fontId="11" fillId="4" borderId="0" xfId="0" applyFont="1" applyFill="1" applyAlignment="1">
      <alignment horizontal="center" vertical="center" readingOrder="2"/>
    </xf>
    <xf numFmtId="0" fontId="13" fillId="4" borderId="0" xfId="0" applyFont="1" applyFill="1" applyAlignment="1">
      <alignment horizontal="right" readingOrder="2"/>
    </xf>
    <xf numFmtId="0" fontId="15" fillId="4" borderId="0" xfId="0" applyFont="1" applyFill="1" applyAlignment="1">
      <alignment horizontal="right" readingOrder="2"/>
    </xf>
    <xf numFmtId="0" fontId="15" fillId="4" borderId="0" xfId="0" applyFont="1" applyFill="1" applyBorder="1" applyAlignment="1">
      <alignment horizontal="right" readingOrder="2"/>
    </xf>
    <xf numFmtId="0" fontId="16" fillId="4" borderId="0" xfId="0" applyFont="1" applyFill="1" applyAlignment="1">
      <alignment horizontal="right" readingOrder="2"/>
    </xf>
    <xf numFmtId="0" fontId="16" fillId="4" borderId="0" xfId="0" applyFont="1" applyFill="1" applyBorder="1" applyAlignment="1">
      <alignment horizontal="right" readingOrder="2"/>
    </xf>
    <xf numFmtId="0" fontId="14" fillId="4" borderId="0" xfId="0" applyFont="1" applyFill="1" applyAlignment="1">
      <alignment horizontal="right" readingOrder="2"/>
    </xf>
    <xf numFmtId="166" fontId="14" fillId="4" borderId="0" xfId="0" applyNumberFormat="1" applyFont="1" applyFill="1" applyAlignment="1">
      <alignment horizontal="right" readingOrder="2"/>
    </xf>
    <xf numFmtId="0" fontId="14" fillId="4" borderId="0" xfId="0" applyFont="1" applyFill="1" applyBorder="1" applyAlignment="1">
      <alignment horizontal="right" readingOrder="2"/>
    </xf>
    <xf numFmtId="166" fontId="14" fillId="4" borderId="0" xfId="2" applyNumberFormat="1" applyFont="1" applyFill="1" applyBorder="1" applyAlignment="1">
      <alignment horizontal="right" readingOrder="2"/>
    </xf>
    <xf numFmtId="167" fontId="14" fillId="4" borderId="0" xfId="2" applyNumberFormat="1" applyFont="1" applyFill="1" applyBorder="1" applyAlignment="1">
      <alignment horizontal="right" readingOrder="2"/>
    </xf>
    <xf numFmtId="166" fontId="14" fillId="4" borderId="0" xfId="2" applyNumberFormat="1" applyFont="1" applyFill="1" applyAlignment="1">
      <alignment horizontal="right" readingOrder="2"/>
    </xf>
    <xf numFmtId="40" fontId="17" fillId="4" borderId="0" xfId="2" applyNumberFormat="1" applyFont="1" applyFill="1" applyBorder="1" applyAlignment="1">
      <alignment horizontal="right" readingOrder="2"/>
    </xf>
    <xf numFmtId="40" fontId="14" fillId="4" borderId="0" xfId="2" applyNumberFormat="1" applyFont="1" applyFill="1" applyBorder="1" applyAlignment="1">
      <alignment horizontal="right" readingOrder="2"/>
    </xf>
    <xf numFmtId="2" fontId="14" fillId="4" borderId="0" xfId="2" applyNumberFormat="1" applyFont="1" applyFill="1" applyBorder="1" applyAlignment="1">
      <alignment horizontal="right" readingOrder="2"/>
    </xf>
    <xf numFmtId="168" fontId="17" fillId="4" borderId="0" xfId="2" applyNumberFormat="1" applyFont="1" applyFill="1" applyBorder="1" applyAlignment="1">
      <alignment horizontal="right" readingOrder="2"/>
    </xf>
    <xf numFmtId="169" fontId="14" fillId="4" borderId="0" xfId="2" applyNumberFormat="1" applyFont="1" applyFill="1" applyBorder="1" applyAlignment="1">
      <alignment horizontal="right" readingOrder="2"/>
    </xf>
    <xf numFmtId="0" fontId="18" fillId="4" borderId="0" xfId="0" applyFont="1" applyFill="1" applyBorder="1" applyAlignment="1">
      <alignment horizontal="right" readingOrder="2"/>
    </xf>
    <xf numFmtId="166" fontId="14" fillId="4" borderId="0" xfId="0" applyNumberFormat="1" applyFont="1" applyFill="1" applyBorder="1" applyAlignment="1">
      <alignment horizontal="right" readingOrder="2"/>
    </xf>
    <xf numFmtId="40" fontId="14" fillId="4" borderId="0" xfId="0" applyNumberFormat="1" applyFont="1" applyFill="1" applyBorder="1" applyAlignment="1">
      <alignment horizontal="right" readingOrder="2"/>
    </xf>
    <xf numFmtId="169" fontId="14" fillId="4" borderId="0" xfId="0" applyNumberFormat="1" applyFont="1" applyFill="1" applyBorder="1" applyAlignment="1">
      <alignment horizontal="right" readingOrder="2"/>
    </xf>
    <xf numFmtId="43" fontId="0" fillId="0" borderId="0" xfId="1" applyFont="1"/>
    <xf numFmtId="169" fontId="14" fillId="4" borderId="0" xfId="0" applyNumberFormat="1" applyFont="1" applyFill="1" applyAlignment="1">
      <alignment horizontal="right" readingOrder="2"/>
    </xf>
    <xf numFmtId="169" fontId="14" fillId="4" borderId="0" xfId="2" applyNumberFormat="1" applyFont="1" applyFill="1" applyAlignment="1">
      <alignment horizontal="right" readingOrder="2"/>
    </xf>
    <xf numFmtId="170" fontId="14" fillId="4" borderId="0" xfId="2" applyNumberFormat="1" applyFont="1" applyFill="1" applyBorder="1" applyAlignment="1">
      <alignment horizontal="right" readingOrder="2"/>
    </xf>
    <xf numFmtId="170" fontId="17" fillId="4" borderId="0" xfId="2" applyNumberFormat="1" applyFont="1" applyFill="1" applyBorder="1" applyAlignment="1">
      <alignment horizontal="right" readingOrder="2"/>
    </xf>
    <xf numFmtId="170" fontId="14" fillId="4" borderId="0" xfId="0" applyNumberFormat="1" applyFont="1" applyFill="1" applyBorder="1" applyAlignment="1">
      <alignment horizontal="right" readingOrder="2"/>
    </xf>
    <xf numFmtId="169" fontId="17" fillId="4" borderId="0" xfId="2" applyNumberFormat="1" applyFont="1" applyFill="1" applyBorder="1" applyAlignment="1">
      <alignment horizontal="right" readingOrder="2"/>
    </xf>
    <xf numFmtId="0" fontId="16" fillId="4" borderId="0" xfId="0" applyFont="1" applyFill="1" applyAlignment="1">
      <alignment horizontal="right" readingOrder="2"/>
    </xf>
    <xf numFmtId="0" fontId="19" fillId="4" borderId="0" xfId="4" applyFill="1" applyBorder="1" applyAlignment="1">
      <alignment horizontal="right" readingOrder="2"/>
    </xf>
    <xf numFmtId="0" fontId="20" fillId="0" borderId="1" xfId="0" applyNumberFormat="1" applyFont="1" applyBorder="1" applyAlignment="1">
      <alignment vertical="center" wrapText="1"/>
    </xf>
    <xf numFmtId="0" fontId="20" fillId="0" borderId="3" xfId="0" applyNumberFormat="1" applyFont="1" applyBorder="1" applyAlignment="1">
      <alignment vertical="center" wrapText="1"/>
    </xf>
    <xf numFmtId="0" fontId="20" fillId="0" borderId="4" xfId="0" applyNumberFormat="1" applyFont="1" applyBorder="1" applyAlignment="1">
      <alignment vertical="center" wrapText="1"/>
    </xf>
    <xf numFmtId="0" fontId="21" fillId="0" borderId="3" xfId="0" applyFont="1" applyBorder="1" applyAlignment="1">
      <alignment horizontal="center" vertical="center" wrapText="1"/>
    </xf>
    <xf numFmtId="0" fontId="7" fillId="4" borderId="0" xfId="3" applyFont="1" applyFill="1" applyAlignment="1">
      <alignment horizontal="right" readingOrder="2"/>
    </xf>
    <xf numFmtId="0" fontId="8" fillId="4" borderId="0" xfId="0" applyFont="1" applyFill="1" applyBorder="1" applyAlignment="1">
      <alignment horizontal="center" vertical="center" readingOrder="2"/>
    </xf>
    <xf numFmtId="0" fontId="16" fillId="4" borderId="0" xfId="0" applyFont="1" applyFill="1" applyAlignment="1">
      <alignment horizontal="right" readingOrder="2"/>
    </xf>
    <xf numFmtId="0" fontId="16" fillId="4" borderId="0" xfId="0" applyFont="1" applyFill="1" applyAlignment="1">
      <alignment horizontal="center" readingOrder="2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Title" xfId="3" builtinId="15"/>
  </cellStyles>
  <dxfs count="9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 Black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numFmt numFmtId="8" formatCode="#,##0.00_);[Red]\(#,##0.00\)"/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71" formatCode="\ #,##0.00\ &quot;ر.س.‏&quot;;[Red]\(\ #,##0.00\ &quot;ر.س.‏&quot;\)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</font>
      <numFmt numFmtId="8" formatCode="#,##0.00_);[Red]\(#,##0.00\)"/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</font>
      <numFmt numFmtId="170" formatCode="#,##0\ [$ج.م.‏-C01];[Red]#,##0\ [$ج.م.‏-C01]"/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9" formatCode="#,##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numFmt numFmtId="166" formatCode="#,##0.00\ [$ج.م.‏-C01]"/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name val="Tahoma"/>
        <scheme val="none"/>
      </font>
      <fill>
        <patternFill patternType="solid">
          <fgColor indexed="64"/>
          <bgColor theme="1" tint="0.249977111117893"/>
        </patternFill>
      </fill>
      <alignment horizontal="right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EG"/>
              <a:t>نسب</a:t>
            </a:r>
            <a:r>
              <a:rPr lang="ar-EG" baseline="0"/>
              <a:t> التوزيع </a:t>
            </a:r>
            <a:endParaRPr lang="en-US"/>
          </a:p>
        </c:rich>
      </c:tx>
      <c:layout>
        <c:manualLayout>
          <c:xMode val="edge"/>
          <c:yMode val="edge"/>
          <c:x val="0.719416666666666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74955455173255"/>
          <c:y val="0.27932402662287953"/>
          <c:w val="0.39051760546109809"/>
          <c:h val="0.6571701649613453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4D-46C1-9EE4-9B67D3E4EFE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4D-46C1-9EE4-9B67D3E4EFE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4D-46C1-9EE4-9B67D3E4EFE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4D-46C1-9EE4-9B67D3E4EFE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4D-46C1-9EE4-9B67D3E4EFE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4D-46C1-9EE4-9B67D3E4EFE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4D-46C1-9EE4-9B67D3E4EFE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4D-46C1-9EE4-9B67D3E4EFE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4D-46C1-9EE4-9B67D3E4EFE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94D-46C1-9EE4-9B67D3E4EFE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94D-46C1-9EE4-9B67D3E4EFE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94D-46C1-9EE4-9B67D3E4EFE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94D-46C1-9EE4-9B67D3E4EFE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94D-46C1-9EE4-9B67D3E4EFE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94D-46C1-9EE4-9B67D3E4EFE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94D-46C1-9EE4-9B67D3E4E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اجمالي!$A$1:$A$16</c:f>
              <c:strCache>
                <c:ptCount val="16"/>
                <c:pt idx="3">
                  <c:v>الأجور</c:v>
                </c:pt>
                <c:pt idx="4">
                  <c:v>الإيجار</c:v>
                </c:pt>
                <c:pt idx="5">
                  <c:v>اجور بالانتاجية</c:v>
                </c:pt>
                <c:pt idx="6">
                  <c:v>اقساط قروض </c:v>
                </c:pt>
                <c:pt idx="7">
                  <c:v>شيكات </c:v>
                </c:pt>
                <c:pt idx="8">
                  <c:v>دفعات للموردين </c:v>
                </c:pt>
                <c:pt idx="9">
                  <c:v>مشتريات مواد خام</c:v>
                </c:pt>
                <c:pt idx="10">
                  <c:v>نقل </c:v>
                </c:pt>
                <c:pt idx="11">
                  <c:v>صيانة وتطوير</c:v>
                </c:pt>
                <c:pt idx="12">
                  <c:v>مشتريات الصاينه والتطوير</c:v>
                </c:pt>
                <c:pt idx="13">
                  <c:v>تامينات</c:v>
                </c:pt>
                <c:pt idx="14">
                  <c:v>مصرفات عموميه</c:v>
                </c:pt>
                <c:pt idx="15">
                  <c:v>بيعيه وتسوقيه</c:v>
                </c:pt>
              </c:strCache>
            </c:strRef>
          </c:cat>
          <c:val>
            <c:numRef>
              <c:f>اجمالي!$B$1:$B$16</c:f>
              <c:numCache>
                <c:formatCode>General</c:formatCode>
                <c:ptCount val="16"/>
                <c:pt idx="3" formatCode="#,##0.00\ [$ج.م.‏-C01];[Red]#,##0.00\ [$ج.م.‏-C01]">
                  <c:v>280000</c:v>
                </c:pt>
                <c:pt idx="4" formatCode="#,##0.00_);[Red]\(#,##0.00\)">
                  <c:v>198000</c:v>
                </c:pt>
                <c:pt idx="5" formatCode="#,##0.00_);[Red]\(#,##0.00\)">
                  <c:v>502235</c:v>
                </c:pt>
                <c:pt idx="6" formatCode="#,##0.00_-;[Red]#,##0.00\-">
                  <c:v>477426</c:v>
                </c:pt>
                <c:pt idx="7" formatCode="#,##0.00_-;[Red]#,##0.00\-">
                  <c:v>1625000</c:v>
                </c:pt>
                <c:pt idx="8" formatCode="#,##0.00_-;[Red]#,##0.00\-">
                  <c:v>170000</c:v>
                </c:pt>
                <c:pt idx="9" formatCode="#,##0.00_);[Red]\(#,##0.00\)">
                  <c:v>63200</c:v>
                </c:pt>
                <c:pt idx="10" formatCode="#,##0.00_);[Red]\(#,##0.00\)">
                  <c:v>60000</c:v>
                </c:pt>
                <c:pt idx="11" formatCode="#,##0.00_);[Red]\(#,##0.00\)">
                  <c:v>25000</c:v>
                </c:pt>
                <c:pt idx="12" formatCode="#,##0.00_);[Red]\(#,##0.00\)">
                  <c:v>10000</c:v>
                </c:pt>
                <c:pt idx="13" formatCode="#,##0.00_);[Red]\(#,##0.00\)">
                  <c:v>70000</c:v>
                </c:pt>
                <c:pt idx="14" formatCode="#,##0.00_);[Red]\(#,##0.00\)">
                  <c:v>15000</c:v>
                </c:pt>
                <c:pt idx="15" formatCode="#,##0.00_);[Red]\(#,##0.00\)">
                  <c:v>195000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94D-46C1-9EE4-9B67D3E4EFE9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394D-46C1-9EE4-9B67D3E4E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اجمالي!$A$1:$A$16</c:f>
              <c:strCache>
                <c:ptCount val="16"/>
                <c:pt idx="3">
                  <c:v>الأجور</c:v>
                </c:pt>
                <c:pt idx="4">
                  <c:v>الإيجار</c:v>
                </c:pt>
                <c:pt idx="5">
                  <c:v>اجور بالانتاجية</c:v>
                </c:pt>
                <c:pt idx="6">
                  <c:v>اقساط قروض </c:v>
                </c:pt>
                <c:pt idx="7">
                  <c:v>شيكات </c:v>
                </c:pt>
                <c:pt idx="8">
                  <c:v>دفعات للموردين </c:v>
                </c:pt>
                <c:pt idx="9">
                  <c:v>مشتريات مواد خام</c:v>
                </c:pt>
                <c:pt idx="10">
                  <c:v>نقل </c:v>
                </c:pt>
                <c:pt idx="11">
                  <c:v>صيانة وتطوير</c:v>
                </c:pt>
                <c:pt idx="12">
                  <c:v>مشتريات الصاينه والتطوير</c:v>
                </c:pt>
                <c:pt idx="13">
                  <c:v>تامينات</c:v>
                </c:pt>
                <c:pt idx="14">
                  <c:v>مصرفات عموميه</c:v>
                </c:pt>
                <c:pt idx="15">
                  <c:v>بيعيه وتسوقيه</c:v>
                </c:pt>
              </c:strCache>
            </c:strRef>
          </c:cat>
          <c:val>
            <c:numRef>
              <c:f>اجمالي!#REF!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394D-46C1-9EE4-9B67D3E4EF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35673665791779"/>
          <c:y val="0.18467300962379701"/>
          <c:w val="0.25886548556430444"/>
          <c:h val="0.78125546806649171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اجمالي!$B$48:$G$48</c:f>
              <c:strCache>
                <c:ptCount val="6"/>
                <c:pt idx="0">
                  <c:v>الاسبوع الاول </c:v>
                </c:pt>
                <c:pt idx="1">
                  <c:v>الاسبوع الثاني </c:v>
                </c:pt>
                <c:pt idx="2">
                  <c:v>الاسبوع الثالث</c:v>
                </c:pt>
                <c:pt idx="3">
                  <c:v>الاسبوع الرابع</c:v>
                </c:pt>
                <c:pt idx="4">
                  <c:v>الاسبوع الخامس </c:v>
                </c:pt>
                <c:pt idx="5">
                  <c:v>الاسبوع السادس</c:v>
                </c:pt>
              </c:strCache>
            </c:strRef>
          </c:cat>
          <c:val>
            <c:numRef>
              <c:f>اجمالي!$B$49:$G$49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09F-41C2-8EF7-8976865443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اجمالي!$B$48:$G$48</c:f>
              <c:strCache>
                <c:ptCount val="6"/>
                <c:pt idx="0">
                  <c:v>الاسبوع الاول </c:v>
                </c:pt>
                <c:pt idx="1">
                  <c:v>الاسبوع الثاني </c:v>
                </c:pt>
                <c:pt idx="2">
                  <c:v>الاسبوع الثالث</c:v>
                </c:pt>
                <c:pt idx="3">
                  <c:v>الاسبوع الرابع</c:v>
                </c:pt>
                <c:pt idx="4">
                  <c:v>الاسبوع الخامس </c:v>
                </c:pt>
                <c:pt idx="5">
                  <c:v>الاسبوع السادس</c:v>
                </c:pt>
              </c:strCache>
            </c:strRef>
          </c:cat>
          <c:val>
            <c:numRef>
              <c:f>اجمالي!$B$50:$G$50</c:f>
              <c:numCache>
                <c:formatCode>#,##0.00\ [$ج.م.‏-C01]</c:formatCode>
                <c:ptCount val="6"/>
                <c:pt idx="0">
                  <c:v>1453557</c:v>
                </c:pt>
                <c:pt idx="1">
                  <c:v>331936</c:v>
                </c:pt>
                <c:pt idx="2">
                  <c:v>372185</c:v>
                </c:pt>
                <c:pt idx="3">
                  <c:v>666575</c:v>
                </c:pt>
                <c:pt idx="4" formatCode="#,##0\ [$ج.م.‏-C01]">
                  <c:v>508168</c:v>
                </c:pt>
                <c:pt idx="5">
                  <c:v>358440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F-41C2-8EF7-89768654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9248560"/>
        <c:axId val="1159260624"/>
        <c:axId val="0"/>
      </c:bar3DChart>
      <c:catAx>
        <c:axId val="115924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60624"/>
        <c:crosses val="autoZero"/>
        <c:auto val="1"/>
        <c:lblAlgn val="ctr"/>
        <c:lblOffset val="100"/>
        <c:noMultiLvlLbl val="0"/>
      </c:catAx>
      <c:valAx>
        <c:axId val="11592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4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r-EG"/>
              <a:t>نسب</a:t>
            </a:r>
            <a:r>
              <a:rPr lang="ar-EG" baseline="0"/>
              <a:t> التوزيع </a:t>
            </a:r>
            <a:endParaRPr lang="en-US"/>
          </a:p>
        </c:rich>
      </c:tx>
      <c:layout>
        <c:manualLayout>
          <c:xMode val="edge"/>
          <c:yMode val="edge"/>
          <c:x val="0.7221944444444444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F7-460D-B77D-351C3FA1501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F7-460D-B77D-351C3FA1501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F7-460D-B77D-351C3FA1501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F7-460D-B77D-351C3FA1501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F7-460D-B77D-351C3FA1501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9F7-460D-B77D-351C3FA1501F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F7-460D-B77D-351C3FA1501F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9F7-460D-B77D-351C3FA1501F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9F7-460D-B77D-351C3FA1501F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9F7-460D-B77D-351C3FA1501F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9F7-460D-B77D-351C3FA1501F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9F7-460D-B77D-351C3FA1501F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9F7-460D-B77D-351C3FA1501F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9F7-460D-B77D-351C3FA1501F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9F7-460D-B77D-351C3FA1501F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9F7-460D-B77D-351C3FA15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اجمالي!$A$1:$A$16</c:f>
              <c:strCache>
                <c:ptCount val="16"/>
                <c:pt idx="3">
                  <c:v>الأجور</c:v>
                </c:pt>
                <c:pt idx="4">
                  <c:v>الإيجار</c:v>
                </c:pt>
                <c:pt idx="5">
                  <c:v>اجور بالانتاجية</c:v>
                </c:pt>
                <c:pt idx="6">
                  <c:v>اقساط قروض </c:v>
                </c:pt>
                <c:pt idx="7">
                  <c:v>شيكات </c:v>
                </c:pt>
                <c:pt idx="8">
                  <c:v>دفعات للموردين </c:v>
                </c:pt>
                <c:pt idx="9">
                  <c:v>مشتريات مواد خام</c:v>
                </c:pt>
                <c:pt idx="10">
                  <c:v>نقل </c:v>
                </c:pt>
                <c:pt idx="11">
                  <c:v>صيانة وتطوير</c:v>
                </c:pt>
                <c:pt idx="12">
                  <c:v>مشتريات الصاينه والتطوير</c:v>
                </c:pt>
                <c:pt idx="13">
                  <c:v>تامينات</c:v>
                </c:pt>
                <c:pt idx="14">
                  <c:v>مصرفات عموميه</c:v>
                </c:pt>
                <c:pt idx="15">
                  <c:v>بيعيه وتسوقيه</c:v>
                </c:pt>
              </c:strCache>
            </c:strRef>
          </c:cat>
          <c:val>
            <c:numRef>
              <c:f>اجمالي!$B$1:$B$16</c:f>
              <c:numCache>
                <c:formatCode>General</c:formatCode>
                <c:ptCount val="16"/>
                <c:pt idx="3" formatCode="#,##0.00\ [$ج.م.‏-C01];[Red]#,##0.00\ [$ج.م.‏-C01]">
                  <c:v>280000</c:v>
                </c:pt>
                <c:pt idx="4" formatCode="#,##0.00_);[Red]\(#,##0.00\)">
                  <c:v>198000</c:v>
                </c:pt>
                <c:pt idx="5" formatCode="#,##0.00_);[Red]\(#,##0.00\)">
                  <c:v>502235</c:v>
                </c:pt>
                <c:pt idx="6" formatCode="#,##0.00_-;[Red]#,##0.00\-">
                  <c:v>477426</c:v>
                </c:pt>
                <c:pt idx="7" formatCode="#,##0.00_-;[Red]#,##0.00\-">
                  <c:v>1625000</c:v>
                </c:pt>
                <c:pt idx="8" formatCode="#,##0.00_-;[Red]#,##0.00\-">
                  <c:v>170000</c:v>
                </c:pt>
                <c:pt idx="9" formatCode="#,##0.00_);[Red]\(#,##0.00\)">
                  <c:v>63200</c:v>
                </c:pt>
                <c:pt idx="10" formatCode="#,##0.00_);[Red]\(#,##0.00\)">
                  <c:v>60000</c:v>
                </c:pt>
                <c:pt idx="11" formatCode="#,##0.00_);[Red]\(#,##0.00\)">
                  <c:v>25000</c:v>
                </c:pt>
                <c:pt idx="12" formatCode="#,##0.00_);[Red]\(#,##0.00\)">
                  <c:v>10000</c:v>
                </c:pt>
                <c:pt idx="13" formatCode="#,##0.00_);[Red]\(#,##0.00\)">
                  <c:v>70000</c:v>
                </c:pt>
                <c:pt idx="14" formatCode="#,##0.00_);[Red]\(#,##0.00\)">
                  <c:v>15000</c:v>
                </c:pt>
                <c:pt idx="15" formatCode="#,##0.00_);[Red]\(#,##0.00\)">
                  <c:v>195000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2-4CDF-A93C-1DB2F444A6B7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9F7-460D-B77D-351C3FA15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اجمالي!$A$1:$A$16</c:f>
              <c:strCache>
                <c:ptCount val="16"/>
                <c:pt idx="3">
                  <c:v>الأجور</c:v>
                </c:pt>
                <c:pt idx="4">
                  <c:v>الإيجار</c:v>
                </c:pt>
                <c:pt idx="5">
                  <c:v>اجور بالانتاجية</c:v>
                </c:pt>
                <c:pt idx="6">
                  <c:v>اقساط قروض </c:v>
                </c:pt>
                <c:pt idx="7">
                  <c:v>شيكات </c:v>
                </c:pt>
                <c:pt idx="8">
                  <c:v>دفعات للموردين </c:v>
                </c:pt>
                <c:pt idx="9">
                  <c:v>مشتريات مواد خام</c:v>
                </c:pt>
                <c:pt idx="10">
                  <c:v>نقل </c:v>
                </c:pt>
                <c:pt idx="11">
                  <c:v>صيانة وتطوير</c:v>
                </c:pt>
                <c:pt idx="12">
                  <c:v>مشتريات الصاينه والتطوير</c:v>
                </c:pt>
                <c:pt idx="13">
                  <c:v>تامينات</c:v>
                </c:pt>
                <c:pt idx="14">
                  <c:v>مصرفات عموميه</c:v>
                </c:pt>
                <c:pt idx="15">
                  <c:v>بيعيه وتسوقيه</c:v>
                </c:pt>
              </c:strCache>
            </c:strRef>
          </c:cat>
          <c:val>
            <c:numRef>
              <c:f>اجمالي!#REF!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2-4CDF-A93C-1DB2F444A6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المبلغ</a:t>
            </a:r>
            <a:r>
              <a:rPr lang="ar-EG" baseline="0"/>
              <a:t> اسبوعيا</a:t>
            </a:r>
            <a:endParaRPr lang="ar-EG"/>
          </a:p>
        </c:rich>
      </c:tx>
      <c:layout>
        <c:manualLayout>
          <c:xMode val="edge"/>
          <c:yMode val="edge"/>
          <c:x val="0.431054011001908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اجمالي!$B$48:$G$48</c:f>
              <c:strCache>
                <c:ptCount val="6"/>
                <c:pt idx="0">
                  <c:v>الاسبوع الاول </c:v>
                </c:pt>
                <c:pt idx="1">
                  <c:v>الاسبوع الثاني </c:v>
                </c:pt>
                <c:pt idx="2">
                  <c:v>الاسبوع الثالث</c:v>
                </c:pt>
                <c:pt idx="3">
                  <c:v>الاسبوع الرابع</c:v>
                </c:pt>
                <c:pt idx="4">
                  <c:v>الاسبوع الخامس </c:v>
                </c:pt>
                <c:pt idx="5">
                  <c:v>الاسبوع السادس</c:v>
                </c:pt>
              </c:strCache>
            </c:strRef>
          </c:cat>
          <c:val>
            <c:numRef>
              <c:f>اجمالي!$B$49:$G$49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900-403B-A2BE-1B58F5FD0D9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اجمالي!$B$48:$G$48</c:f>
              <c:strCache>
                <c:ptCount val="6"/>
                <c:pt idx="0">
                  <c:v>الاسبوع الاول </c:v>
                </c:pt>
                <c:pt idx="1">
                  <c:v>الاسبوع الثاني </c:v>
                </c:pt>
                <c:pt idx="2">
                  <c:v>الاسبوع الثالث</c:v>
                </c:pt>
                <c:pt idx="3">
                  <c:v>الاسبوع الرابع</c:v>
                </c:pt>
                <c:pt idx="4">
                  <c:v>الاسبوع الخامس </c:v>
                </c:pt>
                <c:pt idx="5">
                  <c:v>الاسبوع السادس</c:v>
                </c:pt>
              </c:strCache>
            </c:strRef>
          </c:cat>
          <c:val>
            <c:numRef>
              <c:f>اجمالي!$B$50:$G$50</c:f>
              <c:numCache>
                <c:formatCode>#,##0.00\ [$ج.م.‏-C01]</c:formatCode>
                <c:ptCount val="6"/>
                <c:pt idx="0">
                  <c:v>1453557</c:v>
                </c:pt>
                <c:pt idx="1">
                  <c:v>331936</c:v>
                </c:pt>
                <c:pt idx="2">
                  <c:v>372185</c:v>
                </c:pt>
                <c:pt idx="3">
                  <c:v>666575</c:v>
                </c:pt>
                <c:pt idx="4" formatCode="#,##0\ [$ج.م.‏-C01]">
                  <c:v>508168</c:v>
                </c:pt>
                <c:pt idx="5">
                  <c:v>358440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0-403B-A2BE-1B58F5FD0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9248560"/>
        <c:axId val="1159260624"/>
        <c:axId val="0"/>
      </c:bar3DChart>
      <c:catAx>
        <c:axId val="115924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60624"/>
        <c:crosses val="autoZero"/>
        <c:auto val="1"/>
        <c:lblAlgn val="ctr"/>
        <c:lblOffset val="100"/>
        <c:noMultiLvlLbl val="0"/>
      </c:catAx>
      <c:valAx>
        <c:axId val="11592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4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137587</xdr:colOff>
      <xdr:row>5</xdr:row>
      <xdr:rowOff>127636</xdr:rowOff>
    </xdr:from>
    <xdr:to>
      <xdr:col>12</xdr:col>
      <xdr:colOff>0</xdr:colOff>
      <xdr:row>5</xdr:row>
      <xdr:rowOff>173355</xdr:rowOff>
    </xdr:to>
    <xdr:grpSp>
      <xdr:nvGrpSpPr>
        <xdr:cNvPr id="2" name="حد العنوان" descr="&quot;&quot;" title="حد"/>
        <xdr:cNvGrpSpPr/>
      </xdr:nvGrpSpPr>
      <xdr:grpSpPr>
        <a:xfrm flipV="1">
          <a:off x="10024926429" y="1433922"/>
          <a:ext cx="12149663" cy="45719"/>
          <a:chOff x="0" y="825500"/>
          <a:chExt cx="22129750" cy="59267"/>
        </a:xfrm>
      </xdr:grpSpPr>
      <xdr:cxnSp macro="">
        <xdr:nvCxnSpPr>
          <xdr:cNvPr id="3" name="خط رفيع"/>
          <xdr:cNvCxnSpPr/>
        </xdr:nvCxnSpPr>
        <xdr:spPr>
          <a:xfrm>
            <a:off x="0" y="884767"/>
            <a:ext cx="22129750" cy="0"/>
          </a:xfrm>
          <a:prstGeom prst="line">
            <a:avLst/>
          </a:prstGeom>
          <a:ln>
            <a:solidFill>
              <a:schemeClr val="accent1">
                <a:lumMod val="20000"/>
                <a:lumOff val="8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خط سميك"/>
          <xdr:cNvCxnSpPr/>
        </xdr:nvCxnSpPr>
        <xdr:spPr>
          <a:xfrm>
            <a:off x="0" y="825500"/>
            <a:ext cx="22129750" cy="0"/>
          </a:xfrm>
          <a:prstGeom prst="line">
            <a:avLst/>
          </a:prstGeom>
          <a:ln w="28575">
            <a:solidFill>
              <a:schemeClr val="accent1">
                <a:lumMod val="20000"/>
                <a:lumOff val="8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285750</xdr:colOff>
      <xdr:row>0</xdr:row>
      <xdr:rowOff>312963</xdr:rowOff>
    </xdr:from>
    <xdr:to>
      <xdr:col>19</xdr:col>
      <xdr:colOff>607218</xdr:colOff>
      <xdr:row>13</xdr:row>
      <xdr:rowOff>166345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421822</xdr:colOff>
      <xdr:row>14</xdr:row>
      <xdr:rowOff>81643</xdr:rowOff>
    </xdr:from>
    <xdr:to>
      <xdr:col>20</xdr:col>
      <xdr:colOff>95251</xdr:colOff>
      <xdr:row>28</xdr:row>
      <xdr:rowOff>157843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137587</xdr:colOff>
      <xdr:row>5</xdr:row>
      <xdr:rowOff>127636</xdr:rowOff>
    </xdr:from>
    <xdr:to>
      <xdr:col>12</xdr:col>
      <xdr:colOff>138645</xdr:colOff>
      <xdr:row>5</xdr:row>
      <xdr:rowOff>173355</xdr:rowOff>
    </xdr:to>
    <xdr:grpSp>
      <xdr:nvGrpSpPr>
        <xdr:cNvPr id="2" name="حد العنوان" descr="&quot;&quot;" title="حد"/>
        <xdr:cNvGrpSpPr/>
      </xdr:nvGrpSpPr>
      <xdr:grpSpPr>
        <a:xfrm flipV="1">
          <a:off x="9941663449" y="1425417"/>
          <a:ext cx="14383808" cy="45719"/>
          <a:chOff x="0" y="825500"/>
          <a:chExt cx="22129750" cy="59267"/>
        </a:xfrm>
      </xdr:grpSpPr>
      <xdr:cxnSp macro="">
        <xdr:nvCxnSpPr>
          <xdr:cNvPr id="3" name="خط رفيع"/>
          <xdr:cNvCxnSpPr/>
        </xdr:nvCxnSpPr>
        <xdr:spPr>
          <a:xfrm>
            <a:off x="0" y="884767"/>
            <a:ext cx="22129750" cy="0"/>
          </a:xfrm>
          <a:prstGeom prst="line">
            <a:avLst/>
          </a:prstGeom>
          <a:ln>
            <a:solidFill>
              <a:schemeClr val="accent1">
                <a:lumMod val="20000"/>
                <a:lumOff val="8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خط سميك"/>
          <xdr:cNvCxnSpPr/>
        </xdr:nvCxnSpPr>
        <xdr:spPr>
          <a:xfrm>
            <a:off x="0" y="825500"/>
            <a:ext cx="22129750" cy="0"/>
          </a:xfrm>
          <a:prstGeom prst="line">
            <a:avLst/>
          </a:prstGeom>
          <a:ln w="28575">
            <a:solidFill>
              <a:schemeClr val="accent1">
                <a:lumMod val="20000"/>
                <a:lumOff val="8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0</xdr:rowOff>
    </xdr:from>
    <xdr:to>
      <xdr:col>10</xdr:col>
      <xdr:colOff>123825</xdr:colOff>
      <xdr:row>14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1042462</xdr:colOff>
      <xdr:row>59</xdr:row>
      <xdr:rowOff>103978</xdr:rowOff>
    </xdr:from>
    <xdr:to>
      <xdr:col>12</xdr:col>
      <xdr:colOff>297656</xdr:colOff>
      <xdr:row>59</xdr:row>
      <xdr:rowOff>103978</xdr:rowOff>
    </xdr:to>
    <xdr:cxnSp macro="">
      <xdr:nvCxnSpPr>
        <xdr:cNvPr id="5" name="خط رفيع"/>
        <xdr:cNvCxnSpPr/>
      </xdr:nvCxnSpPr>
      <xdr:spPr>
        <a:xfrm flipV="1">
          <a:off x="9941087719" y="11533978"/>
          <a:ext cx="9280257" cy="0"/>
        </a:xfrm>
        <a:prstGeom prst="line">
          <a:avLst/>
        </a:prstGeom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428626</xdr:colOff>
      <xdr:row>14</xdr:row>
      <xdr:rowOff>152400</xdr:rowOff>
    </xdr:from>
    <xdr:to>
      <xdr:col>10</xdr:col>
      <xdr:colOff>119062</xdr:colOff>
      <xdr:row>29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ExpensesTable410" displayName="ExpensesTable410" ref="B9:L22" headerRowCount="0" totalsRowCount="1" headerRowDxfId="90" dataDxfId="89" totalsRowDxfId="88">
  <tableColumns count="11">
    <tableColumn id="1" name="Expense" totalsRowLabel="إجمالي المصاريف" headerRowDxfId="87" dataDxfId="86" totalsRowDxfId="85"/>
    <tableColumn id="4" name="Week 1" totalsRowFunction="sum" headerRowDxfId="84" dataDxfId="83" totalsRowDxfId="82" dataCellStyle="Currency"/>
    <tableColumn id="5" name="Week 2" totalsRowFunction="sum" headerRowDxfId="81" dataDxfId="80" totalsRowDxfId="79" dataCellStyle="Currency"/>
    <tableColumn id="6" name="Week 3" totalsRowFunction="sum" headerRowDxfId="78" dataDxfId="77" totalsRowDxfId="76" dataCellStyle="Currency"/>
    <tableColumn id="7" name="Week 4" totalsRowFunction="sum" headerRowDxfId="75" dataDxfId="74" totalsRowDxfId="73" dataCellStyle="Currency"/>
    <tableColumn id="8" name="Week 5" totalsRowFunction="sum" headerRowDxfId="72" dataDxfId="71" totalsRowDxfId="70" dataCellStyle="Currency"/>
    <tableColumn id="9" name="Week 6" totalsRowFunction="sum" headerRowDxfId="69" dataDxfId="68" totalsRowDxfId="67" dataCellStyle="Currency"/>
    <tableColumn id="10" name="Week 7" totalsRowFunction="sum" headerRowDxfId="66" dataDxfId="65" totalsRowDxfId="64" dataCellStyle="Currency"/>
    <tableColumn id="11" name="Week 8" totalsRowFunction="custom" headerRowDxfId="63" dataDxfId="62" totalsRowDxfId="61" dataCellStyle="Currency">
      <calculatedColumnFormula>SUBTOTAL(109,ExpensesTable410[[#This Row],[Week 1]:[Week 6]])</calculatedColumnFormula>
      <totalsRowFormula>SUM(ExpensesTable410[Week 8])</totalsRowFormula>
    </tableColumn>
    <tableColumn id="12" name="Week 9" totalsRowFunction="sum" headerRowDxfId="60" dataDxfId="59" totalsRowDxfId="58" dataCellStyle="Currency">
      <calculatedColumnFormula>SUM(ExpensesTable410[[#This Row],[Week 1]:[Week 7]])</calculatedColumnFormula>
    </tableColumn>
    <tableColumn id="23" name="Column1" headerRowDxfId="57" dataDxfId="56" totalsRowDxfId="55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جدول المصاريف" altTextSummary="ملخص لـ 18 فترة، كل 14 يوماً على سبيل المثال."/>
    </ext>
  </extLst>
</table>
</file>

<file path=xl/tables/table2.xml><?xml version="1.0" encoding="utf-8"?>
<table xmlns="http://schemas.openxmlformats.org/spreadsheetml/2006/main" id="3" name="ExpensesTable4104" displayName="ExpensesTable4104" ref="B9:L22" headerRowCount="0" totalsRowCount="1" headerRowDxfId="54" dataDxfId="53" totalsRowDxfId="52">
  <tableColumns count="11">
    <tableColumn id="1" name="Expense" totalsRowLabel="إجمالي المصاريف" headerRowDxfId="51" dataDxfId="50" totalsRowDxfId="10"/>
    <tableColumn id="4" name="Week 1" totalsRowFunction="sum" headerRowDxfId="49" dataDxfId="48" totalsRowDxfId="9" dataCellStyle="Currency"/>
    <tableColumn id="5" name="Week 2" totalsRowFunction="sum" headerRowDxfId="47" dataDxfId="46" totalsRowDxfId="8" dataCellStyle="Currency"/>
    <tableColumn id="6" name="Week 3" totalsRowFunction="sum" headerRowDxfId="45" dataDxfId="44" totalsRowDxfId="7" dataCellStyle="Currency"/>
    <tableColumn id="7" name="Week 4" totalsRowFunction="sum" headerRowDxfId="43" dataDxfId="42" totalsRowDxfId="6" dataCellStyle="Currency"/>
    <tableColumn id="8" name="Week 5" totalsRowFunction="sum" headerRowDxfId="41" dataDxfId="40" totalsRowDxfId="5" dataCellStyle="Currency"/>
    <tableColumn id="9" name="Week 6" totalsRowFunction="sum" headerRowDxfId="39" dataDxfId="38" totalsRowDxfId="4" dataCellStyle="Currency"/>
    <tableColumn id="10" name="Week 7" totalsRowFunction="sum" headerRowDxfId="37" dataDxfId="36" totalsRowDxfId="3" dataCellStyle="Currency"/>
    <tableColumn id="11" name="Week 8" totalsRowFunction="custom" headerRowDxfId="35" dataDxfId="34" totalsRowDxfId="2" dataCellStyle="Currency">
      <calculatedColumnFormula>SUBTOTAL(109,ExpensesTable4104[[#This Row],[Week 1]:[Week 6]])</calculatedColumnFormula>
      <totalsRowFormula>SUM(ExpensesTable4104[Week 8])</totalsRowFormula>
    </tableColumn>
    <tableColumn id="12" name="Week 9" totalsRowFunction="sum" headerRowDxfId="33" dataDxfId="32" totalsRowDxfId="1" dataCellStyle="Currency">
      <calculatedColumnFormula>SUM(ExpensesTable4104[[#This Row],[Week 1]:[Week 7]])</calculatedColumnFormula>
    </tableColumn>
    <tableColumn id="23" name="Column1" headerRowDxfId="31" dataDxfId="30" totalsRowDxfId="0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جدول المصاريف" altTextSummary="ملخص لـ 18 فترة، كل 14 يوماً على سبيل المثال."/>
    </ext>
  </extLst>
</table>
</file>

<file path=xl/tables/table3.xml><?xml version="1.0" encoding="utf-8"?>
<table xmlns="http://schemas.openxmlformats.org/spreadsheetml/2006/main" id="4" name="ExpensesTable4105" displayName="ExpensesTable4105" ref="A4:B17" headerRowCount="0" totalsRowCount="1" headerRowDxfId="29" dataDxfId="28" totalsRowDxfId="27">
  <tableColumns count="2">
    <tableColumn id="1" name="Expense" totalsRowLabel="إجمالي المصاريف" headerRowDxfId="26" dataDxfId="25" totalsRowDxfId="12"/>
    <tableColumn id="11" name="Week 8" totalsRowFunction="custom" headerRowDxfId="24" dataDxfId="23" totalsRowDxfId="11" dataCellStyle="Currency">
      <totalsRowFormula>SUM(ExpensesTable4105[Week 8])</totalsRowFormula>
    </tableColumn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جدول المصاريف" altTextSummary="ملخص لـ 18 فترة، كل 14 يوماً على سبيل المثال."/>
    </ext>
  </extLst>
</table>
</file>

<file path=xl/tables/table4.xml><?xml version="1.0" encoding="utf-8"?>
<table xmlns="http://schemas.openxmlformats.org/spreadsheetml/2006/main" id="1" name="Table1" displayName="Table1" ref="A1:G7" totalsRowShown="0" headerRowDxfId="22" dataDxfId="20" headerRowBorderDxfId="21">
  <autoFilter ref="A1:G7"/>
  <tableColumns count="7">
    <tableColumn id="1" name="الشهر" dataDxfId="19"/>
    <tableColumn id="2" name="الأسبوع الأول" dataDxfId="18"/>
    <tableColumn id="3" name="الأسبوع الثاني" dataDxfId="17"/>
    <tableColumn id="4" name="الأسبوع الثالث" dataDxfId="16"/>
    <tableColumn id="5" name="الأسبوع الرابع" dataDxfId="15"/>
    <tableColumn id="6" name="جمالي" dataDxfId="14">
      <calculatedColumnFormula>SUM(Table1[[#This Row],[الأسبوع الأول]:[الأسبوع الرابع]])</calculatedColumnFormula>
    </tableColumn>
    <tableColumn id="7" name="انتاج الشهر" dataDxfId="13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rightToLeft="1" tabSelected="1" zoomScale="70" zoomScaleNormal="70" workbookViewId="0">
      <selection activeCell="J27" sqref="J27"/>
    </sheetView>
  </sheetViews>
  <sheetFormatPr defaultRowHeight="15" x14ac:dyDescent="0.25"/>
  <cols>
    <col min="1" max="1" width="9.140625" customWidth="1"/>
    <col min="2" max="2" width="17" customWidth="1"/>
    <col min="3" max="3" width="18.7109375" customWidth="1"/>
    <col min="4" max="4" width="14.7109375" customWidth="1"/>
    <col min="5" max="5" width="16.7109375" customWidth="1"/>
    <col min="6" max="6" width="16.140625" customWidth="1"/>
    <col min="7" max="7" width="15" customWidth="1"/>
    <col min="8" max="8" width="14" customWidth="1"/>
    <col min="9" max="9" width="15" customWidth="1"/>
    <col min="10" max="11" width="17" customWidth="1"/>
    <col min="12" max="12" width="13.5703125" customWidth="1"/>
  </cols>
  <sheetData>
    <row r="1" spans="1:12" ht="39.75" x14ac:dyDescent="0.5">
      <c r="A1" s="8"/>
      <c r="B1" s="55" t="s">
        <v>11</v>
      </c>
      <c r="C1" s="55"/>
      <c r="D1" s="55"/>
      <c r="E1" s="55"/>
      <c r="F1" s="9"/>
      <c r="G1" s="9"/>
      <c r="H1" s="8"/>
      <c r="I1" s="8"/>
      <c r="J1" s="8"/>
      <c r="K1" s="8"/>
      <c r="L1" s="8"/>
    </row>
    <row r="2" spans="1:12" x14ac:dyDescent="0.25">
      <c r="A2" s="10"/>
      <c r="B2" s="55"/>
      <c r="C2" s="55"/>
      <c r="D2" s="55"/>
      <c r="E2" s="55"/>
      <c r="F2" s="10"/>
      <c r="G2" s="11" t="s">
        <v>12</v>
      </c>
      <c r="H2" s="12" t="s">
        <v>13</v>
      </c>
      <c r="I2" s="56" t="s">
        <v>14</v>
      </c>
      <c r="J2" s="56"/>
      <c r="K2" s="13">
        <v>45665</v>
      </c>
      <c r="L2" s="10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8" x14ac:dyDescent="0.25">
      <c r="A4" s="23"/>
      <c r="B4" s="23"/>
      <c r="C4" s="23" t="s">
        <v>15</v>
      </c>
      <c r="D4" s="24" t="s">
        <v>16</v>
      </c>
      <c r="E4" s="24" t="s">
        <v>17</v>
      </c>
      <c r="F4" s="23" t="s">
        <v>18</v>
      </c>
      <c r="G4" s="23" t="s">
        <v>19</v>
      </c>
      <c r="H4" s="23" t="s">
        <v>20</v>
      </c>
      <c r="I4" s="23"/>
      <c r="J4" s="23"/>
      <c r="K4" s="23"/>
      <c r="L4" s="23"/>
    </row>
    <row r="5" spans="1:12" x14ac:dyDescent="0.25">
      <c r="A5" s="17"/>
      <c r="B5" s="17"/>
      <c r="C5" s="18" t="s">
        <v>21</v>
      </c>
      <c r="D5" s="19" t="s">
        <v>22</v>
      </c>
      <c r="E5" s="19" t="s">
        <v>23</v>
      </c>
      <c r="F5" s="18" t="s">
        <v>24</v>
      </c>
      <c r="G5" s="18" t="s">
        <v>25</v>
      </c>
      <c r="H5" s="18" t="s">
        <v>26</v>
      </c>
      <c r="I5" s="18" t="s">
        <v>27</v>
      </c>
      <c r="J5" s="18" t="s">
        <v>28</v>
      </c>
      <c r="K5" s="20" t="s">
        <v>29</v>
      </c>
      <c r="L5" s="21" t="s">
        <v>30</v>
      </c>
    </row>
    <row r="6" spans="1:12" x14ac:dyDescent="0.25">
      <c r="A6" s="25"/>
      <c r="B6" s="25"/>
      <c r="C6" s="25"/>
      <c r="D6" s="26"/>
      <c r="E6" s="26"/>
      <c r="F6" s="25"/>
      <c r="G6" s="25"/>
      <c r="H6" s="25"/>
      <c r="I6" s="25"/>
      <c r="J6" s="25"/>
      <c r="K6" s="25"/>
      <c r="L6" s="25"/>
    </row>
    <row r="7" spans="1:12" x14ac:dyDescent="0.25">
      <c r="A7" s="25"/>
      <c r="B7" s="57"/>
      <c r="C7" s="57"/>
      <c r="D7" s="57"/>
      <c r="E7" s="57"/>
      <c r="F7" s="57"/>
      <c r="G7" s="57"/>
      <c r="H7" s="57"/>
      <c r="I7" s="57"/>
      <c r="J7" s="57"/>
      <c r="K7" s="57"/>
      <c r="L7" s="25"/>
    </row>
    <row r="8" spans="1:12" ht="19.5" x14ac:dyDescent="0.25">
      <c r="A8" s="22" t="s">
        <v>31</v>
      </c>
      <c r="B8" s="27"/>
      <c r="C8" s="28"/>
      <c r="D8" s="28"/>
      <c r="E8" s="28"/>
      <c r="F8" s="28"/>
      <c r="G8" s="43"/>
      <c r="H8" s="28"/>
      <c r="I8" s="28"/>
      <c r="J8" s="27"/>
      <c r="K8" s="27"/>
      <c r="L8" s="27"/>
    </row>
    <row r="9" spans="1:12" x14ac:dyDescent="0.25">
      <c r="A9" s="25"/>
      <c r="B9" s="29" t="s">
        <v>32</v>
      </c>
      <c r="C9" s="37">
        <v>60000</v>
      </c>
      <c r="D9" s="37">
        <v>20000</v>
      </c>
      <c r="E9" s="37">
        <v>15000</v>
      </c>
      <c r="F9" s="37">
        <v>180000</v>
      </c>
      <c r="G9" s="37">
        <v>5000</v>
      </c>
      <c r="H9" s="37"/>
      <c r="I9" s="37">
        <v>10000</v>
      </c>
      <c r="J9" s="45">
        <f>SUBTOTAL(109,ExpensesTable410[[#This Row],[Week 1]:[Week 6]])</f>
        <v>280000</v>
      </c>
      <c r="K9" s="37">
        <f>SUM(ExpensesTable410[[#This Row],[Week 1]:[Week 7]])</f>
        <v>290000</v>
      </c>
      <c r="L9" s="29"/>
    </row>
    <row r="10" spans="1:12" x14ac:dyDescent="0.25">
      <c r="A10" s="25"/>
      <c r="B10" s="29" t="s">
        <v>33</v>
      </c>
      <c r="C10" s="37">
        <v>117000</v>
      </c>
      <c r="D10" s="44"/>
      <c r="E10" s="37">
        <v>81000</v>
      </c>
      <c r="F10" s="37"/>
      <c r="G10" s="37"/>
      <c r="H10" s="37"/>
      <c r="I10" s="37"/>
      <c r="J10" s="46">
        <f>SUBTOTAL(109,ExpensesTable410[[#This Row],[Week 1]:[Week 6]])</f>
        <v>198000</v>
      </c>
      <c r="K10" s="48">
        <f>SUM(ExpensesTable410[[#This Row],[Week 1]:[Week 7]])</f>
        <v>198000</v>
      </c>
      <c r="L10" s="29"/>
    </row>
    <row r="11" spans="1:12" x14ac:dyDescent="0.25">
      <c r="A11" s="25"/>
      <c r="B11" s="29" t="s">
        <v>34</v>
      </c>
      <c r="C11" s="37">
        <v>150000</v>
      </c>
      <c r="D11" s="37">
        <v>60265</v>
      </c>
      <c r="E11" s="37">
        <v>65295</v>
      </c>
      <c r="F11" s="37">
        <v>73575</v>
      </c>
      <c r="G11" s="37">
        <v>85420</v>
      </c>
      <c r="H11" s="37">
        <v>67680</v>
      </c>
      <c r="I11" s="37">
        <v>30000</v>
      </c>
      <c r="J11" s="45">
        <f>SUBTOTAL(109,ExpensesTable410[[#This Row],[Week 1]:[Week 6]])</f>
        <v>502235</v>
      </c>
      <c r="K11" s="37">
        <f>SUM(ExpensesTable410[[#This Row],[Week 1]:[Week 7]])</f>
        <v>532235</v>
      </c>
      <c r="L11" s="29"/>
    </row>
    <row r="12" spans="1:12" x14ac:dyDescent="0.25">
      <c r="A12" s="25"/>
      <c r="B12" s="29" t="s">
        <v>35</v>
      </c>
      <c r="C12" s="37">
        <v>158357</v>
      </c>
      <c r="D12" s="37">
        <v>57171</v>
      </c>
      <c r="E12" s="37">
        <v>47290</v>
      </c>
      <c r="F12" s="37">
        <v>70000</v>
      </c>
      <c r="G12" s="37">
        <v>87848</v>
      </c>
      <c r="H12" s="37">
        <v>56760</v>
      </c>
      <c r="I12" s="37"/>
      <c r="J12" s="46">
        <f>SUBTOTAL(109,ExpensesTable410[[#This Row],[Week 1]:[Week 6]])</f>
        <v>477426</v>
      </c>
      <c r="K12" s="48">
        <f>SUM(ExpensesTable410[[#This Row],[Week 1]:[Week 7]])</f>
        <v>477426</v>
      </c>
      <c r="L12" s="29"/>
    </row>
    <row r="13" spans="1:12" x14ac:dyDescent="0.25">
      <c r="A13" s="25"/>
      <c r="B13" s="29" t="s">
        <v>36</v>
      </c>
      <c r="C13" s="37">
        <v>720000</v>
      </c>
      <c r="D13" s="37">
        <v>50000</v>
      </c>
      <c r="E13" s="37">
        <v>100000</v>
      </c>
      <c r="F13" s="37">
        <v>280000</v>
      </c>
      <c r="G13" s="37">
        <v>275000</v>
      </c>
      <c r="H13" s="37">
        <v>200000</v>
      </c>
      <c r="I13" s="37"/>
      <c r="J13" s="46">
        <f>SUBTOTAL(109,ExpensesTable410[[#This Row],[Week 1]:[Week 6]])</f>
        <v>1625000</v>
      </c>
      <c r="K13" s="48">
        <f>SUM(ExpensesTable410[[#This Row],[Week 1]:[Week 7]])</f>
        <v>1625000</v>
      </c>
      <c r="L13" s="29"/>
    </row>
    <row r="14" spans="1:12" x14ac:dyDescent="0.25">
      <c r="A14" s="25"/>
      <c r="B14" s="29" t="s">
        <v>37</v>
      </c>
      <c r="C14" s="37">
        <v>170000</v>
      </c>
      <c r="D14" s="37"/>
      <c r="E14" s="37"/>
      <c r="F14" s="37"/>
      <c r="G14" s="37"/>
      <c r="H14" s="37"/>
      <c r="I14" s="37">
        <v>50000</v>
      </c>
      <c r="J14" s="46">
        <f>SUBTOTAL(109,ExpensesTable410[[#This Row],[Week 1]:[Week 6]])</f>
        <v>170000</v>
      </c>
      <c r="K14" s="48">
        <f>SUM(ExpensesTable410[[#This Row],[Week 1]:[Week 7]])</f>
        <v>220000</v>
      </c>
      <c r="L14" s="29"/>
    </row>
    <row r="15" spans="1:12" x14ac:dyDescent="0.25">
      <c r="A15" s="25"/>
      <c r="B15" s="29" t="s">
        <v>38</v>
      </c>
      <c r="C15" s="37">
        <v>9200</v>
      </c>
      <c r="D15" s="37">
        <v>14500</v>
      </c>
      <c r="E15" s="37">
        <v>8600</v>
      </c>
      <c r="F15" s="37">
        <v>11000</v>
      </c>
      <c r="G15" s="37">
        <v>5900</v>
      </c>
      <c r="H15" s="37">
        <v>14000</v>
      </c>
      <c r="I15" s="37">
        <v>10000</v>
      </c>
      <c r="J15" s="46">
        <f>SUBTOTAL(109,ExpensesTable410[[#This Row],[Week 1]:[Week 6]])</f>
        <v>63200</v>
      </c>
      <c r="K15" s="37">
        <f>SUM(ExpensesTable410[[#This Row],[Week 1]:[Week 7]])</f>
        <v>73200</v>
      </c>
      <c r="L15" s="29"/>
    </row>
    <row r="16" spans="1:12" x14ac:dyDescent="0.25">
      <c r="A16" s="25"/>
      <c r="B16" s="29" t="s">
        <v>39</v>
      </c>
      <c r="C16" s="37">
        <v>20000</v>
      </c>
      <c r="D16" s="37">
        <v>10000</v>
      </c>
      <c r="E16" s="37">
        <v>5000</v>
      </c>
      <c r="F16" s="37">
        <v>10000</v>
      </c>
      <c r="G16" s="37">
        <v>5000</v>
      </c>
      <c r="H16" s="37">
        <v>10000</v>
      </c>
      <c r="I16" s="37">
        <v>10000</v>
      </c>
      <c r="J16" s="45">
        <f>SUBTOTAL(109,ExpensesTable410[[#This Row],[Week 1]:[Week 6]])</f>
        <v>60000</v>
      </c>
      <c r="K16" s="37">
        <f>SUM(ExpensesTable410[[#This Row],[Week 1]:[Week 7]])</f>
        <v>70000</v>
      </c>
      <c r="L16" s="29"/>
    </row>
    <row r="17" spans="1:12" x14ac:dyDescent="0.25">
      <c r="A17" s="25"/>
      <c r="B17" s="29" t="s">
        <v>40</v>
      </c>
      <c r="C17" s="37">
        <v>4000</v>
      </c>
      <c r="D17" s="37">
        <v>5000</v>
      </c>
      <c r="E17" s="37">
        <v>5000</v>
      </c>
      <c r="F17" s="37">
        <v>2000</v>
      </c>
      <c r="G17" s="37">
        <v>4000</v>
      </c>
      <c r="H17" s="37">
        <v>5000</v>
      </c>
      <c r="I17" s="37"/>
      <c r="J17" s="45">
        <f>SUBTOTAL(109,ExpensesTable410[[#This Row],[Week 1]:[Week 6]])</f>
        <v>25000</v>
      </c>
      <c r="K17" s="37">
        <f>SUM(ExpensesTable410[[#This Row],[Week 1]:[Week 7]])</f>
        <v>25000</v>
      </c>
      <c r="L17" s="29"/>
    </row>
    <row r="18" spans="1:12" x14ac:dyDescent="0.25">
      <c r="A18" s="25"/>
      <c r="B18" s="38" t="s">
        <v>41</v>
      </c>
      <c r="C18" s="37">
        <v>10000</v>
      </c>
      <c r="D18" s="30"/>
      <c r="E18" s="30"/>
      <c r="F18" s="37"/>
      <c r="G18" s="30"/>
      <c r="H18" s="30"/>
      <c r="I18" s="30"/>
      <c r="J18" s="45">
        <f>SUBTOTAL(109,ExpensesTable410[[#This Row],[Week 1]:[Week 6]])</f>
        <v>10000</v>
      </c>
      <c r="K18" s="37">
        <f>SUM(ExpensesTable410[[#This Row],[Week 1]:[Week 7]])</f>
        <v>10000</v>
      </c>
      <c r="L18" s="29"/>
    </row>
    <row r="19" spans="1:12" x14ac:dyDescent="0.25">
      <c r="A19" s="25"/>
      <c r="B19" s="29" t="s">
        <v>42</v>
      </c>
      <c r="C19" s="37"/>
      <c r="D19" s="37">
        <v>70000</v>
      </c>
      <c r="E19" s="30"/>
      <c r="F19" s="37"/>
      <c r="G19" s="30"/>
      <c r="H19" s="30"/>
      <c r="I19" s="30"/>
      <c r="J19" s="45">
        <f>SUBTOTAL(109,ExpensesTable410[[#This Row],[Week 1]:[Week 6]])</f>
        <v>70000</v>
      </c>
      <c r="K19" s="37">
        <f>SUM(ExpensesTable410[[#This Row],[Week 1]:[Week 7]])</f>
        <v>70000</v>
      </c>
      <c r="L19" s="29"/>
    </row>
    <row r="20" spans="1:12" x14ac:dyDescent="0.25">
      <c r="A20" s="25"/>
      <c r="B20" s="29" t="s">
        <v>43</v>
      </c>
      <c r="C20" s="41">
        <v>15000</v>
      </c>
      <c r="D20" s="39"/>
      <c r="E20" s="39"/>
      <c r="F20" s="41"/>
      <c r="G20" s="39"/>
      <c r="H20" s="39"/>
      <c r="I20" s="39"/>
      <c r="J20" s="47">
        <f>SUBTOTAL(109,ExpensesTable410[[#This Row],[Week 1]:[Week 6]])</f>
        <v>15000</v>
      </c>
      <c r="K20" s="41">
        <f>SUM(ExpensesTable410[[#This Row],[Week 1]:[Week 7]])</f>
        <v>15000</v>
      </c>
      <c r="L20" s="29"/>
    </row>
    <row r="21" spans="1:12" x14ac:dyDescent="0.25">
      <c r="A21" s="25"/>
      <c r="B21" s="29" t="s">
        <v>44</v>
      </c>
      <c r="C21" s="37">
        <v>20000</v>
      </c>
      <c r="D21" s="37">
        <v>45000</v>
      </c>
      <c r="E21" s="37">
        <v>45000</v>
      </c>
      <c r="F21" s="37">
        <v>40000</v>
      </c>
      <c r="G21" s="37">
        <v>40000</v>
      </c>
      <c r="H21" s="30">
        <v>5000</v>
      </c>
      <c r="I21" s="30">
        <v>50000</v>
      </c>
      <c r="J21" s="45">
        <f>SUBTOTAL(109,ExpensesTable410[[#This Row],[Week 1]:[Week 6]])</f>
        <v>195000</v>
      </c>
      <c r="K21" s="37">
        <f>SUM(ExpensesTable410[[#This Row],[Week 1]:[Week 7]])</f>
        <v>245000</v>
      </c>
      <c r="L21" s="29"/>
    </row>
    <row r="22" spans="1:12" x14ac:dyDescent="0.25">
      <c r="A22" s="25"/>
      <c r="B22" s="29" t="s">
        <v>45</v>
      </c>
      <c r="C22" s="41">
        <f>SUBTOTAL(109,ExpensesTable410[Week 1])</f>
        <v>1453557</v>
      </c>
      <c r="D22" s="41">
        <f>SUBTOTAL(109,ExpensesTable410[Week 2])</f>
        <v>331936</v>
      </c>
      <c r="E22" s="39">
        <f>SUBTOTAL(109,ExpensesTable410[Week 3])</f>
        <v>372185</v>
      </c>
      <c r="F22" s="41">
        <f>SUBTOTAL(109,ExpensesTable410[Week 4])</f>
        <v>666575</v>
      </c>
      <c r="G22" s="41">
        <f>SUBTOTAL(109,ExpensesTable410[Week 5])</f>
        <v>508168</v>
      </c>
      <c r="H22" s="41">
        <f>SUBTOTAL(109,ExpensesTable410[Week 6])</f>
        <v>358440</v>
      </c>
      <c r="I22" s="41">
        <f>SUBTOTAL(109,ExpensesTable410[Week 7])</f>
        <v>160000</v>
      </c>
      <c r="J22" s="41">
        <f>SUM(ExpensesTable410[Week 8])</f>
        <v>3690861</v>
      </c>
      <c r="K22" s="41">
        <f>SUBTOTAL(109,ExpensesTable410[Week 9])</f>
        <v>3850861</v>
      </c>
      <c r="L22" s="29"/>
    </row>
    <row r="26" spans="1:12" x14ac:dyDescent="0.25">
      <c r="F26" s="42"/>
    </row>
  </sheetData>
  <mergeCells count="3">
    <mergeCell ref="B1:E2"/>
    <mergeCell ref="I2:J2"/>
    <mergeCell ref="B7:K7"/>
  </mergeCells>
  <conditionalFormatting sqref="C9:I9 C11:I21 E10:I10 C1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{CE7A0150-3A6C-47CD-91CA-4A078A9517EA}</x14:id>
        </ext>
      </extLst>
    </cfRule>
  </conditionalFormatting>
  <conditionalFormatting sqref="J9:J2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{F1A3310C-008E-47F6-A7AC-4BC9FA8B86B6}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A0150-3A6C-47CD-91CA-4A078A9517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C9:I9 C11:I21 E10:I10 C10</xm:sqref>
        </x14:conditionalFormatting>
        <x14:conditionalFormatting xmlns:xm="http://schemas.microsoft.com/office/excel/2006/main">
          <x14:cfRule type="dataBar" id="{F1A3310C-008E-47F6-A7AC-4BC9FA8B86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J9:J21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high="1" low="1" rightToLeft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'الموازنه التقدرية '!C9:K9</xm:f>
              <xm:sqref>L9</xm:sqref>
            </x14:sparkline>
            <x14:sparkline>
              <xm:f>'الموازنه التقدرية '!C10:K10</xm:f>
              <xm:sqref>L10</xm:sqref>
            </x14:sparkline>
            <x14:sparkline>
              <xm:f>'الموازنه التقدرية '!C11:K11</xm:f>
              <xm:sqref>L11</xm:sqref>
            </x14:sparkline>
            <x14:sparkline>
              <xm:f>'الموازنه التقدرية '!C12:K12</xm:f>
              <xm:sqref>L12</xm:sqref>
            </x14:sparkline>
            <x14:sparkline>
              <xm:f>'الموازنه التقدرية '!C13:K13</xm:f>
              <xm:sqref>L13</xm:sqref>
            </x14:sparkline>
            <x14:sparkline>
              <xm:f>'الموازنه التقدرية '!C14:K14</xm:f>
              <xm:sqref>L14</xm:sqref>
            </x14:sparkline>
            <x14:sparkline>
              <xm:f>'الموازنه التقدرية '!C15:K15</xm:f>
              <xm:sqref>L15</xm:sqref>
            </x14:sparkline>
            <x14:sparkline>
              <xm:f>'الموازنه التقدرية '!C16:K16</xm:f>
              <xm:sqref>L16</xm:sqref>
            </x14:sparkline>
            <x14:sparkline>
              <xm:f>'الموازنه التقدرية '!C17:K17</xm:f>
              <xm:sqref>L17</xm:sqref>
            </x14:sparkline>
            <x14:sparkline>
              <xm:f>'الموازنه التقدرية '!C18:K18</xm:f>
              <xm:sqref>L18</xm:sqref>
            </x14:sparkline>
            <x14:sparkline>
              <xm:f>'الموازنه التقدرية '!C19:K19</xm:f>
              <xm:sqref>L19</xm:sqref>
            </x14:sparkline>
            <x14:sparkline>
              <xm:f>'الموازنه التقدرية '!C20:K20</xm:f>
              <xm:sqref>L20</xm:sqref>
            </x14:sparkline>
            <x14:sparkline>
              <xm:f>'الموازنه التقدرية '!C21:K21</xm:f>
              <xm:sqref>L21</xm:sqref>
            </x14:sparkline>
          </x14:sparklines>
        </x14:sparklineGroup>
        <x14:sparklineGroup manualMax="0" manualMin="0" type="column" displayEmptyCellsAs="gap" high="1" low="1" rightToLeft="1">
          <x14:colorSeries theme="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92D050"/>
          <x14:colorLow rgb="FFFF0000"/>
          <x14:sparklines>
            <x14:sparkline>
              <xm:f>'الموازنه التقدرية '!C22:K22</xm:f>
              <xm:sqref>L22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rightToLeft="1" zoomScale="80" zoomScaleNormal="80" workbookViewId="0">
      <selection activeCell="F16" sqref="F16"/>
    </sheetView>
  </sheetViews>
  <sheetFormatPr defaultRowHeight="15" x14ac:dyDescent="0.25"/>
  <cols>
    <col min="1" max="11" width="18.140625" customWidth="1"/>
    <col min="12" max="13" width="15.28515625" customWidth="1"/>
  </cols>
  <sheetData>
    <row r="1" spans="1:13" ht="39.75" x14ac:dyDescent="0.5">
      <c r="A1" s="8"/>
      <c r="B1" s="55" t="s">
        <v>11</v>
      </c>
      <c r="C1" s="55"/>
      <c r="D1" s="55"/>
      <c r="E1" s="55"/>
      <c r="F1" s="9"/>
      <c r="G1" s="9"/>
      <c r="H1" s="8"/>
      <c r="I1" s="8"/>
      <c r="J1" s="8"/>
      <c r="K1" s="8"/>
      <c r="L1" s="8"/>
      <c r="M1" s="10"/>
    </row>
    <row r="2" spans="1:13" x14ac:dyDescent="0.25">
      <c r="A2" s="10"/>
      <c r="B2" s="55"/>
      <c r="C2" s="55"/>
      <c r="D2" s="55"/>
      <c r="E2" s="55"/>
      <c r="F2" s="10"/>
      <c r="G2" s="11" t="s">
        <v>12</v>
      </c>
      <c r="H2" s="12" t="s">
        <v>13</v>
      </c>
      <c r="I2" s="56" t="s">
        <v>14</v>
      </c>
      <c r="J2" s="56"/>
      <c r="K2" s="13">
        <v>45665</v>
      </c>
      <c r="L2" s="10"/>
      <c r="M2" s="10"/>
    </row>
    <row r="3" spans="1:13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ht="18" x14ac:dyDescent="0.25">
      <c r="A4" s="23"/>
      <c r="B4" s="23"/>
      <c r="C4" s="23" t="s">
        <v>15</v>
      </c>
      <c r="D4" s="24" t="s">
        <v>16</v>
      </c>
      <c r="E4" s="24" t="s">
        <v>17</v>
      </c>
      <c r="F4" s="23" t="s">
        <v>18</v>
      </c>
      <c r="G4" s="23" t="s">
        <v>19</v>
      </c>
      <c r="H4" s="23" t="s">
        <v>20</v>
      </c>
      <c r="I4" s="23"/>
      <c r="J4" s="23"/>
      <c r="K4" s="23"/>
      <c r="L4" s="23"/>
      <c r="M4" s="16"/>
    </row>
    <row r="5" spans="1:13" x14ac:dyDescent="0.25">
      <c r="A5" s="17"/>
      <c r="B5" s="17"/>
      <c r="C5" s="18" t="s">
        <v>21</v>
      </c>
      <c r="D5" s="19" t="s">
        <v>22</v>
      </c>
      <c r="E5" s="19" t="s">
        <v>23</v>
      </c>
      <c r="F5" s="18" t="s">
        <v>24</v>
      </c>
      <c r="G5" s="18" t="s">
        <v>25</v>
      </c>
      <c r="H5" s="18" t="s">
        <v>26</v>
      </c>
      <c r="I5" s="18" t="s">
        <v>27</v>
      </c>
      <c r="J5" s="18" t="s">
        <v>28</v>
      </c>
      <c r="K5" s="20" t="s">
        <v>29</v>
      </c>
      <c r="L5" s="21" t="s">
        <v>30</v>
      </c>
      <c r="M5" s="10"/>
    </row>
    <row r="6" spans="1:13" x14ac:dyDescent="0.25">
      <c r="A6" s="25"/>
      <c r="B6" s="25"/>
      <c r="C6" s="25"/>
      <c r="D6" s="26"/>
      <c r="E6" s="26"/>
      <c r="F6" s="25"/>
      <c r="G6" s="25"/>
      <c r="H6" s="25"/>
      <c r="I6" s="25"/>
      <c r="J6" s="25"/>
      <c r="K6" s="25"/>
      <c r="L6" s="25"/>
      <c r="M6" s="10"/>
    </row>
    <row r="7" spans="1:13" x14ac:dyDescent="0.25">
      <c r="A7" s="25"/>
      <c r="B7" s="57"/>
      <c r="C7" s="57"/>
      <c r="D7" s="57"/>
      <c r="E7" s="57"/>
      <c r="F7" s="57"/>
      <c r="G7" s="57"/>
      <c r="H7" s="57"/>
      <c r="I7" s="57"/>
      <c r="J7" s="57"/>
      <c r="K7" s="57"/>
      <c r="L7" s="25"/>
      <c r="M7" s="10"/>
    </row>
    <row r="8" spans="1:13" ht="19.5" x14ac:dyDescent="0.25">
      <c r="A8" s="22" t="s">
        <v>31</v>
      </c>
      <c r="B8" s="27"/>
      <c r="C8" s="28"/>
      <c r="D8" s="28"/>
      <c r="E8" s="28"/>
      <c r="F8" s="28"/>
      <c r="G8" s="28"/>
      <c r="H8" s="28"/>
      <c r="I8" s="28"/>
      <c r="J8" s="27"/>
      <c r="K8" s="27"/>
      <c r="L8" s="27"/>
      <c r="M8" s="10"/>
    </row>
    <row r="9" spans="1:13" x14ac:dyDescent="0.25">
      <c r="A9" s="25"/>
      <c r="B9" s="29" t="s">
        <v>32</v>
      </c>
      <c r="C9" s="30">
        <v>60000</v>
      </c>
      <c r="D9" s="30">
        <v>20000</v>
      </c>
      <c r="E9" s="30">
        <v>20000</v>
      </c>
      <c r="F9" s="30">
        <v>180000</v>
      </c>
      <c r="G9" s="30"/>
      <c r="H9" s="30"/>
      <c r="I9" s="30"/>
      <c r="J9" s="31">
        <f>SUBTOTAL(109,ExpensesTable4104[[#This Row],[Week 1]:[Week 6]])</f>
        <v>280000</v>
      </c>
      <c r="K9" s="30">
        <f>SUM(ExpensesTable4104[[#This Row],[Week 1]:[Week 7]])</f>
        <v>280000</v>
      </c>
      <c r="L9" s="29"/>
      <c r="M9" s="10"/>
    </row>
    <row r="10" spans="1:13" x14ac:dyDescent="0.25">
      <c r="A10" s="25"/>
      <c r="B10" s="29" t="s">
        <v>33</v>
      </c>
      <c r="C10" s="30">
        <v>117000</v>
      </c>
      <c r="D10" s="32"/>
      <c r="E10" s="30">
        <v>81000</v>
      </c>
      <c r="F10" s="30"/>
      <c r="G10" s="30"/>
      <c r="H10" s="30"/>
      <c r="I10" s="30"/>
      <c r="J10" s="33">
        <f>SUBTOTAL(109,ExpensesTable4104[[#This Row],[Week 1]:[Week 6]])</f>
        <v>198000</v>
      </c>
      <c r="K10" s="33">
        <f>SUM(ExpensesTable4104[[#This Row],[Week 1]:[Week 7]])</f>
        <v>198000</v>
      </c>
      <c r="L10" s="29"/>
      <c r="M10" s="10"/>
    </row>
    <row r="11" spans="1:13" x14ac:dyDescent="0.25">
      <c r="A11" s="25"/>
      <c r="B11" s="29" t="s">
        <v>34</v>
      </c>
      <c r="C11" s="30">
        <v>150000</v>
      </c>
      <c r="D11" s="30">
        <v>60265</v>
      </c>
      <c r="E11" s="30">
        <v>69960</v>
      </c>
      <c r="F11" s="30">
        <v>75290</v>
      </c>
      <c r="G11" s="30">
        <v>89155</v>
      </c>
      <c r="H11" s="30">
        <v>126805</v>
      </c>
      <c r="I11" s="30">
        <v>30000</v>
      </c>
      <c r="J11" s="34">
        <f>SUBTOTAL(109,ExpensesTable4104[[#This Row],[Week 1]:[Week 6]])</f>
        <v>571475</v>
      </c>
      <c r="K11" s="34">
        <f>SUM(ExpensesTable4104[[#This Row],[Week 1]:[Week 7]])</f>
        <v>601475</v>
      </c>
      <c r="L11" s="29"/>
      <c r="M11" s="10"/>
    </row>
    <row r="12" spans="1:13" x14ac:dyDescent="0.25">
      <c r="A12" s="25"/>
      <c r="B12" s="29" t="s">
        <v>35</v>
      </c>
      <c r="C12" s="35">
        <v>158357</v>
      </c>
      <c r="D12" s="30">
        <v>57171</v>
      </c>
      <c r="E12" s="30">
        <v>47290</v>
      </c>
      <c r="F12" s="30">
        <v>70000</v>
      </c>
      <c r="G12" s="30">
        <v>87848</v>
      </c>
      <c r="H12" s="30">
        <v>56760</v>
      </c>
      <c r="I12" s="30"/>
      <c r="J12" s="36">
        <f>SUBTOTAL(109,ExpensesTable4104[[#This Row],[Week 1]:[Week 6]])</f>
        <v>477426</v>
      </c>
      <c r="K12" s="36">
        <f>SUM(ExpensesTable4104[[#This Row],[Week 1]:[Week 7]])</f>
        <v>477426</v>
      </c>
      <c r="L12" s="29"/>
      <c r="M12" s="10"/>
    </row>
    <row r="13" spans="1:13" x14ac:dyDescent="0.25">
      <c r="A13" s="25"/>
      <c r="B13" s="29" t="s">
        <v>36</v>
      </c>
      <c r="C13" s="30">
        <v>720000</v>
      </c>
      <c r="D13" s="30">
        <v>50000</v>
      </c>
      <c r="E13" s="30">
        <v>100000</v>
      </c>
      <c r="F13" s="30">
        <v>280000</v>
      </c>
      <c r="G13" s="30">
        <v>275000</v>
      </c>
      <c r="H13" s="30">
        <v>200000</v>
      </c>
      <c r="I13" s="30"/>
      <c r="J13" s="36">
        <f>SUBTOTAL(109,ExpensesTable4104[[#This Row],[Week 1]:[Week 6]])</f>
        <v>1625000</v>
      </c>
      <c r="K13" s="36">
        <f>SUM(ExpensesTable4104[[#This Row],[Week 1]:[Week 7]])</f>
        <v>1625000</v>
      </c>
      <c r="L13" s="29"/>
      <c r="M13" s="10"/>
    </row>
    <row r="14" spans="1:13" x14ac:dyDescent="0.25">
      <c r="A14" s="25"/>
      <c r="B14" s="29" t="s">
        <v>37</v>
      </c>
      <c r="C14" s="37">
        <v>170000</v>
      </c>
      <c r="D14" s="30"/>
      <c r="E14" s="30"/>
      <c r="F14" s="30"/>
      <c r="G14" s="30"/>
      <c r="H14" s="30"/>
      <c r="I14" s="30">
        <v>50000</v>
      </c>
      <c r="J14" s="36">
        <f>SUBTOTAL(109,ExpensesTable4104[[#This Row],[Week 1]:[Week 6]])</f>
        <v>170000</v>
      </c>
      <c r="K14" s="36">
        <f>SUM(ExpensesTable4104[[#This Row],[Week 1]:[Week 7]])</f>
        <v>220000</v>
      </c>
      <c r="L14" s="29"/>
      <c r="M14" s="10"/>
    </row>
    <row r="15" spans="1:13" x14ac:dyDescent="0.25">
      <c r="A15" s="25"/>
      <c r="B15" s="38" t="s">
        <v>38</v>
      </c>
      <c r="C15" s="30">
        <v>18000</v>
      </c>
      <c r="D15" s="30">
        <v>14500</v>
      </c>
      <c r="E15" s="30">
        <v>22400</v>
      </c>
      <c r="F15" s="30">
        <v>16000</v>
      </c>
      <c r="G15" s="30">
        <v>15000</v>
      </c>
      <c r="H15" s="30">
        <v>14000</v>
      </c>
      <c r="I15" s="30">
        <v>10000</v>
      </c>
      <c r="J15" s="33">
        <f>SUBTOTAL(109,ExpensesTable4104[[#This Row],[Week 1]:[Week 6]])</f>
        <v>99900</v>
      </c>
      <c r="K15" s="34">
        <f>SUM(ExpensesTable4104[[#This Row],[Week 1]:[Week 7]])</f>
        <v>109900</v>
      </c>
      <c r="L15" s="29"/>
      <c r="M15" s="10"/>
    </row>
    <row r="16" spans="1:13" x14ac:dyDescent="0.25">
      <c r="A16" s="25"/>
      <c r="B16" s="29" t="s">
        <v>39</v>
      </c>
      <c r="C16" s="30">
        <v>20000</v>
      </c>
      <c r="D16" s="30">
        <v>10000</v>
      </c>
      <c r="E16" s="30">
        <v>5000</v>
      </c>
      <c r="F16" s="30">
        <v>10000</v>
      </c>
      <c r="G16" s="30">
        <v>5000</v>
      </c>
      <c r="H16" s="30">
        <v>10000</v>
      </c>
      <c r="I16" s="30">
        <v>10000</v>
      </c>
      <c r="J16" s="34">
        <f>SUBTOTAL(109,ExpensesTable4104[[#This Row],[Week 1]:[Week 6]])</f>
        <v>60000</v>
      </c>
      <c r="K16" s="34">
        <f>SUM(ExpensesTable4104[[#This Row],[Week 1]:[Week 7]])</f>
        <v>70000</v>
      </c>
      <c r="L16" s="29"/>
      <c r="M16" s="10"/>
    </row>
    <row r="17" spans="1:13" x14ac:dyDescent="0.25">
      <c r="A17" s="25"/>
      <c r="B17" s="29" t="s">
        <v>40</v>
      </c>
      <c r="C17" s="30">
        <v>4000</v>
      </c>
      <c r="D17" s="30">
        <v>5000</v>
      </c>
      <c r="E17" s="30">
        <v>5000</v>
      </c>
      <c r="F17" s="30">
        <v>2000</v>
      </c>
      <c r="G17" s="30">
        <v>4000</v>
      </c>
      <c r="H17" s="30">
        <v>5000</v>
      </c>
      <c r="I17" s="30"/>
      <c r="J17" s="34">
        <f>SUBTOTAL(109,ExpensesTable4104[[#This Row],[Week 1]:[Week 6]])</f>
        <v>25000</v>
      </c>
      <c r="K17" s="34">
        <f>SUM(ExpensesTable4104[[#This Row],[Week 1]:[Week 7]])</f>
        <v>25000</v>
      </c>
      <c r="L17" s="29"/>
      <c r="M17" s="10"/>
    </row>
    <row r="18" spans="1:13" x14ac:dyDescent="0.25">
      <c r="A18" s="25"/>
      <c r="B18" s="38" t="s">
        <v>41</v>
      </c>
      <c r="C18" s="30">
        <v>10000</v>
      </c>
      <c r="D18" s="30"/>
      <c r="E18" s="30"/>
      <c r="F18" s="30"/>
      <c r="G18" s="30"/>
      <c r="H18" s="30"/>
      <c r="I18" s="30"/>
      <c r="J18" s="34">
        <f>SUBTOTAL(109,ExpensesTable4104[[#This Row],[Week 1]:[Week 6]])</f>
        <v>10000</v>
      </c>
      <c r="K18" s="34">
        <f>SUM(ExpensesTable4104[[#This Row],[Week 1]:[Week 7]])</f>
        <v>10000</v>
      </c>
      <c r="L18" s="29"/>
      <c r="M18" s="10"/>
    </row>
    <row r="19" spans="1:13" x14ac:dyDescent="0.25">
      <c r="A19" s="25"/>
      <c r="B19" s="29" t="s">
        <v>42</v>
      </c>
      <c r="C19" s="30"/>
      <c r="D19" s="30">
        <v>70000</v>
      </c>
      <c r="E19" s="30"/>
      <c r="F19" s="30"/>
      <c r="G19" s="30"/>
      <c r="H19" s="30"/>
      <c r="I19" s="30"/>
      <c r="J19" s="34">
        <f>SUBTOTAL(109,ExpensesTable4104[[#This Row],[Week 1]:[Week 6]])</f>
        <v>70000</v>
      </c>
      <c r="K19" s="34">
        <f>SUM(ExpensesTable4104[[#This Row],[Week 1]:[Week 7]])</f>
        <v>70000</v>
      </c>
      <c r="L19" s="29"/>
      <c r="M19" s="10"/>
    </row>
    <row r="20" spans="1:13" x14ac:dyDescent="0.25">
      <c r="A20" s="25"/>
      <c r="B20" s="29" t="s">
        <v>43</v>
      </c>
      <c r="C20" s="39">
        <v>15000</v>
      </c>
      <c r="D20" s="39">
        <v>15000</v>
      </c>
      <c r="E20" s="39">
        <v>20000</v>
      </c>
      <c r="F20" s="39">
        <v>20000</v>
      </c>
      <c r="G20" s="39">
        <v>15000</v>
      </c>
      <c r="H20" s="39">
        <v>15000</v>
      </c>
      <c r="I20" s="39"/>
      <c r="J20" s="40">
        <f>SUBTOTAL(109,ExpensesTable4104[[#This Row],[Week 1]:[Week 6]])</f>
        <v>100000</v>
      </c>
      <c r="K20" s="40">
        <f>SUM(ExpensesTable4104[[#This Row],[Week 1]:[Week 7]])</f>
        <v>100000</v>
      </c>
      <c r="L20" s="29"/>
      <c r="M20" s="10"/>
    </row>
    <row r="21" spans="1:13" x14ac:dyDescent="0.25">
      <c r="A21" s="25"/>
      <c r="B21" s="29" t="s">
        <v>44</v>
      </c>
      <c r="C21" s="30">
        <v>20000</v>
      </c>
      <c r="D21" s="30">
        <v>45000</v>
      </c>
      <c r="E21" s="30">
        <v>45000</v>
      </c>
      <c r="F21" s="30">
        <v>40000</v>
      </c>
      <c r="G21" s="30">
        <v>40000</v>
      </c>
      <c r="H21" s="30">
        <v>5000</v>
      </c>
      <c r="I21" s="30">
        <v>50000</v>
      </c>
      <c r="J21" s="34">
        <f>SUBTOTAL(109,ExpensesTable4104[[#This Row],[Week 1]:[Week 6]])</f>
        <v>195000</v>
      </c>
      <c r="K21" s="34">
        <f>SUM(ExpensesTable4104[[#This Row],[Week 1]:[Week 7]])</f>
        <v>245000</v>
      </c>
      <c r="L21" s="29"/>
      <c r="M21" s="10"/>
    </row>
    <row r="22" spans="1:13" x14ac:dyDescent="0.25">
      <c r="A22" s="25"/>
      <c r="B22" s="29" t="s">
        <v>45</v>
      </c>
      <c r="C22" s="41">
        <f>SUBTOTAL(109,ExpensesTable4104[Week 1])</f>
        <v>1462357</v>
      </c>
      <c r="D22" s="39">
        <f>SUBTOTAL(109,ExpensesTable4104[Week 2])</f>
        <v>346936</v>
      </c>
      <c r="E22" s="39">
        <f>SUBTOTAL(109,ExpensesTable4104[Week 3])</f>
        <v>415650</v>
      </c>
      <c r="F22" s="39">
        <f>SUBTOTAL(109,ExpensesTable4104[Week 4])</f>
        <v>693290</v>
      </c>
      <c r="G22" s="39">
        <f>SUBTOTAL(109,ExpensesTable4104[Week 5])</f>
        <v>531003</v>
      </c>
      <c r="H22" s="39">
        <f>SUBTOTAL(109,ExpensesTable4104[Week 6])</f>
        <v>432565</v>
      </c>
      <c r="I22" s="41">
        <f>SUBTOTAL(109,ExpensesTable4104[Week 7])</f>
        <v>150000</v>
      </c>
      <c r="J22" s="41">
        <f>SUM(ExpensesTable4104[Week 8])</f>
        <v>3881801</v>
      </c>
      <c r="K22" s="41">
        <f>SUBTOTAL(109,ExpensesTable4104[Week 9])</f>
        <v>4031801</v>
      </c>
      <c r="L22" s="29"/>
      <c r="M22" s="10"/>
    </row>
  </sheetData>
  <mergeCells count="3">
    <mergeCell ref="B1:E2"/>
    <mergeCell ref="I2:J2"/>
    <mergeCell ref="B7:K7"/>
  </mergeCells>
  <conditionalFormatting sqref="C9:I9 C11:I21 E10:I10 C1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{DCA4D115-DCEF-4B31-8C73-0623F457C412}</x14:id>
        </ext>
      </extLst>
    </cfRule>
  </conditionalFormatting>
  <conditionalFormatting sqref="J9:J2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{ECC3FD3A-169D-4295-8524-1085D9830CF3}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4D115-DCEF-4B31-8C73-0623F457C4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C9:I9 C11:I21 E10:I10 C10</xm:sqref>
        </x14:conditionalFormatting>
        <x14:conditionalFormatting xmlns:xm="http://schemas.microsoft.com/office/excel/2006/main">
          <x14:cfRule type="dataBar" id="{ECC3FD3A-169D-4295-8524-1085D9830C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J9:J21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high="1" low="1" rightToLeft="1">
          <x14:colorSeries theme="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rgb="FF92D050"/>
          <x14:colorLow rgb="FFFF0000"/>
          <x14:sparklines>
            <x14:sparkline>
              <xm:f>'18K PAIR'!C22:K22</xm:f>
              <xm:sqref>L22</xm:sqref>
            </x14:sparkline>
          </x14:sparklines>
        </x14:sparklineGroup>
        <x14:sparklineGroup manualMax="0" manualMin="0" displayEmptyCellsAs="gap" markers="1" high="1" low="1" rightToLeft="1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'18K PAIR'!C9:K9</xm:f>
              <xm:sqref>L9</xm:sqref>
            </x14:sparkline>
            <x14:sparkline>
              <xm:f>'18K PAIR'!C10:K10</xm:f>
              <xm:sqref>L10</xm:sqref>
            </x14:sparkline>
            <x14:sparkline>
              <xm:f>'18K PAIR'!C11:K11</xm:f>
              <xm:sqref>L11</xm:sqref>
            </x14:sparkline>
            <x14:sparkline>
              <xm:f>'18K PAIR'!C12:K12</xm:f>
              <xm:sqref>L12</xm:sqref>
            </x14:sparkline>
            <x14:sparkline>
              <xm:f>'18K PAIR'!C13:K13</xm:f>
              <xm:sqref>L13</xm:sqref>
            </x14:sparkline>
            <x14:sparkline>
              <xm:f>'18K PAIR'!C14:K14</xm:f>
              <xm:sqref>L14</xm:sqref>
            </x14:sparkline>
            <x14:sparkline>
              <xm:f>'18K PAIR'!C15:K15</xm:f>
              <xm:sqref>L15</xm:sqref>
            </x14:sparkline>
            <x14:sparkline>
              <xm:f>'18K PAIR'!C16:K16</xm:f>
              <xm:sqref>L16</xm:sqref>
            </x14:sparkline>
            <x14:sparkline>
              <xm:f>'18K PAIR'!C17:K17</xm:f>
              <xm:sqref>L17</xm:sqref>
            </x14:sparkline>
            <x14:sparkline>
              <xm:f>'18K PAIR'!C18:K18</xm:f>
              <xm:sqref>L18</xm:sqref>
            </x14:sparkline>
            <x14:sparkline>
              <xm:f>'18K PAIR'!C19:K19</xm:f>
              <xm:sqref>L19</xm:sqref>
            </x14:sparkline>
            <x14:sparkline>
              <xm:f>'18K PAIR'!C20:K20</xm:f>
              <xm:sqref>L20</xm:sqref>
            </x14:sparkline>
            <x14:sparkline>
              <xm:f>'18K PAIR'!C21:K21</xm:f>
              <xm:sqref>L21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rightToLeft="1" zoomScale="80" zoomScaleNormal="80" workbookViewId="0">
      <selection activeCell="B23" sqref="B23"/>
    </sheetView>
  </sheetViews>
  <sheetFormatPr defaultRowHeight="15" x14ac:dyDescent="0.25"/>
  <cols>
    <col min="1" max="1" width="20.28515625" customWidth="1"/>
    <col min="2" max="2" width="21.85546875" customWidth="1"/>
    <col min="3" max="3" width="17.140625" customWidth="1"/>
    <col min="4" max="4" width="18.140625" customWidth="1"/>
    <col min="7" max="7" width="13.140625" customWidth="1"/>
    <col min="8" max="8" width="12.85546875" customWidth="1"/>
    <col min="9" max="9" width="14.85546875" customWidth="1"/>
    <col min="10" max="10" width="14.5703125" customWidth="1"/>
  </cols>
  <sheetData>
    <row r="1" spans="1:2" x14ac:dyDescent="0.25">
      <c r="A1" s="58"/>
      <c r="B1" s="58"/>
    </row>
    <row r="2" spans="1:2" x14ac:dyDescent="0.25">
      <c r="A2" s="58"/>
      <c r="B2" s="58"/>
    </row>
    <row r="3" spans="1:2" x14ac:dyDescent="0.25">
      <c r="A3" s="58"/>
      <c r="B3" s="58"/>
    </row>
    <row r="4" spans="1:2" x14ac:dyDescent="0.25">
      <c r="A4" s="50" t="s">
        <v>32</v>
      </c>
      <c r="B4" s="31">
        <v>280000</v>
      </c>
    </row>
    <row r="5" spans="1:2" x14ac:dyDescent="0.25">
      <c r="A5" s="29" t="s">
        <v>33</v>
      </c>
      <c r="B5" s="33">
        <v>198000</v>
      </c>
    </row>
    <row r="6" spans="1:2" x14ac:dyDescent="0.25">
      <c r="A6" s="29" t="s">
        <v>34</v>
      </c>
      <c r="B6" s="34">
        <v>502235</v>
      </c>
    </row>
    <row r="7" spans="1:2" x14ac:dyDescent="0.25">
      <c r="A7" s="29" t="s">
        <v>35</v>
      </c>
      <c r="B7" s="36">
        <v>477426</v>
      </c>
    </row>
    <row r="8" spans="1:2" x14ac:dyDescent="0.25">
      <c r="A8" s="29" t="s">
        <v>36</v>
      </c>
      <c r="B8" s="36">
        <v>1625000</v>
      </c>
    </row>
    <row r="9" spans="1:2" x14ac:dyDescent="0.25">
      <c r="A9" s="29" t="s">
        <v>37</v>
      </c>
      <c r="B9" s="36">
        <v>170000</v>
      </c>
    </row>
    <row r="10" spans="1:2" x14ac:dyDescent="0.25">
      <c r="A10" s="29" t="s">
        <v>38</v>
      </c>
      <c r="B10" s="33">
        <v>63200</v>
      </c>
    </row>
    <row r="11" spans="1:2" x14ac:dyDescent="0.25">
      <c r="A11" s="29" t="s">
        <v>39</v>
      </c>
      <c r="B11" s="34">
        <v>60000</v>
      </c>
    </row>
    <row r="12" spans="1:2" x14ac:dyDescent="0.25">
      <c r="A12" s="29" t="s">
        <v>40</v>
      </c>
      <c r="B12" s="34">
        <v>25000</v>
      </c>
    </row>
    <row r="13" spans="1:2" x14ac:dyDescent="0.25">
      <c r="A13" s="38" t="s">
        <v>41</v>
      </c>
      <c r="B13" s="34">
        <v>10000</v>
      </c>
    </row>
    <row r="14" spans="1:2" x14ac:dyDescent="0.25">
      <c r="A14" s="29" t="s">
        <v>42</v>
      </c>
      <c r="B14" s="34">
        <v>70000</v>
      </c>
    </row>
    <row r="15" spans="1:2" x14ac:dyDescent="0.25">
      <c r="A15" s="29" t="s">
        <v>43</v>
      </c>
      <c r="B15" s="40">
        <v>15000</v>
      </c>
    </row>
    <row r="16" spans="1:2" x14ac:dyDescent="0.25">
      <c r="A16" s="29" t="s">
        <v>44</v>
      </c>
      <c r="B16" s="34">
        <v>195000</v>
      </c>
    </row>
    <row r="17" spans="1:2" x14ac:dyDescent="0.25">
      <c r="A17" s="29" t="s">
        <v>45</v>
      </c>
      <c r="B17" s="41">
        <f>SUM(ExpensesTable4105[Week 8])</f>
        <v>3690861</v>
      </c>
    </row>
    <row r="48" spans="1:10" x14ac:dyDescent="0.25">
      <c r="A48" s="17"/>
      <c r="B48" s="18" t="s">
        <v>21</v>
      </c>
      <c r="C48" s="19" t="s">
        <v>22</v>
      </c>
      <c r="D48" s="19" t="s">
        <v>23</v>
      </c>
      <c r="E48" s="18" t="s">
        <v>24</v>
      </c>
      <c r="F48" s="18" t="s">
        <v>25</v>
      </c>
      <c r="G48" s="18" t="s">
        <v>26</v>
      </c>
      <c r="H48" s="18" t="s">
        <v>27</v>
      </c>
      <c r="I48" s="18" t="s">
        <v>28</v>
      </c>
      <c r="J48" s="20" t="s">
        <v>29</v>
      </c>
    </row>
    <row r="49" spans="1:10" x14ac:dyDescent="0.25">
      <c r="A49" s="49"/>
      <c r="B49" s="49"/>
      <c r="C49" s="26"/>
      <c r="D49" s="26"/>
      <c r="E49" s="49"/>
      <c r="F49" s="49"/>
      <c r="G49" s="49"/>
      <c r="H49" s="49"/>
      <c r="I49" s="49"/>
      <c r="J49" s="49"/>
    </row>
    <row r="50" spans="1:10" x14ac:dyDescent="0.25">
      <c r="A50" s="27" t="s">
        <v>45</v>
      </c>
      <c r="B50" s="28">
        <v>1453557</v>
      </c>
      <c r="C50" s="28">
        <v>331936</v>
      </c>
      <c r="D50" s="28">
        <v>372185</v>
      </c>
      <c r="E50" s="28">
        <v>666575</v>
      </c>
      <c r="F50" s="43">
        <v>508168</v>
      </c>
      <c r="G50" s="28">
        <v>358440</v>
      </c>
      <c r="H50" s="28">
        <v>160000</v>
      </c>
      <c r="I50" s="27">
        <v>3690861</v>
      </c>
      <c r="J50" s="27">
        <v>3850861</v>
      </c>
    </row>
    <row r="53" spans="1:10" x14ac:dyDescent="0.25">
      <c r="A53" t="s">
        <v>45</v>
      </c>
      <c r="B53">
        <v>1453557</v>
      </c>
      <c r="C53">
        <v>331936</v>
      </c>
      <c r="D53">
        <v>372185</v>
      </c>
      <c r="E53">
        <v>666575</v>
      </c>
      <c r="F53">
        <v>508168</v>
      </c>
      <c r="G53">
        <v>358440</v>
      </c>
      <c r="H53">
        <v>160000</v>
      </c>
      <c r="I53">
        <v>3690861</v>
      </c>
      <c r="J53">
        <v>3850861</v>
      </c>
    </row>
  </sheetData>
  <mergeCells count="1">
    <mergeCell ref="A1:B3"/>
  </mergeCells>
  <conditionalFormatting sqref="B4:B1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{6893A96A-9188-43D6-8944-FDDCD666339F}</x14:id>
        </ext>
      </extLst>
    </cfRule>
  </conditionalFormatting>
  <hyperlinks>
    <hyperlink ref="A4" location="'الموازنه التقدرية '!A1" display="الأجور"/>
  </hyperlink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93A96A-9188-43D6-8944-FDDCD66633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B4:B16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workbookViewId="0">
      <selection activeCell="H4" sqref="H4"/>
    </sheetView>
  </sheetViews>
  <sheetFormatPr defaultRowHeight="15" x14ac:dyDescent="0.25"/>
  <cols>
    <col min="1" max="1" width="11.7109375" customWidth="1"/>
    <col min="2" max="2" width="15" customWidth="1"/>
    <col min="3" max="3" width="19" customWidth="1"/>
    <col min="4" max="4" width="20.7109375" customWidth="1"/>
    <col min="5" max="5" width="16.85546875" customWidth="1"/>
    <col min="6" max="6" width="13.28515625" customWidth="1"/>
    <col min="7" max="7" width="13.140625" customWidth="1"/>
  </cols>
  <sheetData>
    <row r="1" spans="1:7" ht="23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10</v>
      </c>
      <c r="G1" s="54" t="s">
        <v>46</v>
      </c>
    </row>
    <row r="2" spans="1:7" ht="19.5" x14ac:dyDescent="0.4">
      <c r="A2" s="2" t="s">
        <v>5</v>
      </c>
      <c r="B2" s="3">
        <v>59205</v>
      </c>
      <c r="C2" s="3">
        <v>57355</v>
      </c>
      <c r="D2" s="3">
        <v>67680</v>
      </c>
      <c r="E2" s="3">
        <v>63138</v>
      </c>
      <c r="F2" s="4">
        <f>SUM(Table1[[#This Row],[الأسبوع الأول]:[الأسبوع الرابع]])</f>
        <v>247378</v>
      </c>
      <c r="G2" s="52"/>
    </row>
    <row r="3" spans="1:7" ht="19.5" x14ac:dyDescent="0.4">
      <c r="A3" s="2" t="s">
        <v>6</v>
      </c>
      <c r="B3" s="3">
        <v>58605</v>
      </c>
      <c r="C3" s="3">
        <v>65925</v>
      </c>
      <c r="D3" s="3">
        <v>104065</v>
      </c>
      <c r="E3" s="3">
        <v>70015</v>
      </c>
      <c r="F3" s="4">
        <f>SUM(Table1[[#This Row],[الأسبوع الأول]:[الأسبوع الرابع]])</f>
        <v>298610</v>
      </c>
      <c r="G3" s="51"/>
    </row>
    <row r="4" spans="1:7" ht="19.5" x14ac:dyDescent="0.4">
      <c r="A4" s="2" t="s">
        <v>7</v>
      </c>
      <c r="B4" s="3">
        <v>60265</v>
      </c>
      <c r="C4" s="3">
        <v>65295</v>
      </c>
      <c r="D4" s="3">
        <v>73575</v>
      </c>
      <c r="E4" s="3">
        <v>85420</v>
      </c>
      <c r="F4" s="4">
        <f>SUM(Table1[[#This Row],[الأسبوع الأول]:[الأسبوع الرابع]])</f>
        <v>284555</v>
      </c>
      <c r="G4" s="51"/>
    </row>
    <row r="5" spans="1:7" ht="19.5" x14ac:dyDescent="0.4">
      <c r="A5" s="2" t="s">
        <v>8</v>
      </c>
      <c r="B5" s="3">
        <v>47455</v>
      </c>
      <c r="C5" s="3">
        <v>59235</v>
      </c>
      <c r="D5" s="3">
        <v>42410</v>
      </c>
      <c r="E5" s="3">
        <v>62830</v>
      </c>
      <c r="F5" s="4">
        <f>SUM(Table1[[#This Row],[الأسبوع الأول]:[الأسبوع الرابع]])</f>
        <v>211930</v>
      </c>
      <c r="G5" s="51">
        <v>6736</v>
      </c>
    </row>
    <row r="6" spans="1:7" ht="19.5" x14ac:dyDescent="0.4">
      <c r="A6" s="2" t="s">
        <v>9</v>
      </c>
      <c r="B6" s="3">
        <v>69960</v>
      </c>
      <c r="C6" s="3">
        <v>75290</v>
      </c>
      <c r="D6" s="3">
        <v>89155</v>
      </c>
      <c r="E6" s="3">
        <v>126805</v>
      </c>
      <c r="F6" s="4">
        <f>SUM(Table1[[#This Row],[الأسبوع الأول]:[الأسبوع الرابع]])</f>
        <v>361210</v>
      </c>
      <c r="G6" s="51">
        <v>18118</v>
      </c>
    </row>
    <row r="7" spans="1:7" ht="19.5" x14ac:dyDescent="0.4">
      <c r="A7" s="5"/>
      <c r="B7" s="6">
        <f>SUBTOTAL(109,B2:B6)</f>
        <v>295490</v>
      </c>
      <c r="C7" s="6">
        <f>SUBTOTAL(109,C2:C6)</f>
        <v>323100</v>
      </c>
      <c r="D7" s="6">
        <f>SUBTOTAL(109,D2:D6)</f>
        <v>376885</v>
      </c>
      <c r="E7" s="6">
        <f>SUBTOTAL(109,E2:E6)</f>
        <v>408208</v>
      </c>
      <c r="F7" s="6">
        <f>SUM(Table1[[#This Row],[الأسبوع الأول]:[الأسبوع الرابع]])</f>
        <v>1403683</v>
      </c>
      <c r="G7" s="53"/>
    </row>
  </sheetData>
  <conditionalFormatting sqref="F2:F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{9826B999-66DA-4B24-9F9E-6BD091B55DF2}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26B999-66DA-4B24-9F9E-6BD091B55D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الموازنه التقدرية </vt:lpstr>
      <vt:lpstr>18K PAIR</vt:lpstr>
      <vt:lpstr>اجمالي</vt:lpstr>
      <vt:lpstr>انتاجيات شهور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2025-06-18T21:12:49Z</dcterms:modified>
</cp:coreProperties>
</file>