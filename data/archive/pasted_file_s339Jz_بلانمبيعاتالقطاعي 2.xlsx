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C3D97AA-6CDC-4375-BA9B-65FBF3993FE5}" xr6:coauthVersionLast="47" xr6:coauthVersionMax="47" xr10:uidLastSave="{00000000-0000-0000-0000-000000000000}"/>
  <bookViews>
    <workbookView xWindow="-108" yWindow="-108" windowWidth="23256" windowHeight="14976" xr2:uid="{5755FB67-A54A-4889-A5A0-0582944B2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I34" i="1"/>
  <c r="O18" i="1"/>
  <c r="K17" i="1"/>
  <c r="L17" i="1" s="1"/>
  <c r="N17" i="1" s="1"/>
  <c r="P17" i="1" s="1"/>
  <c r="K16" i="1"/>
  <c r="L16" i="1" s="1"/>
  <c r="N16" i="1" s="1"/>
  <c r="P16" i="1" s="1"/>
  <c r="K15" i="1"/>
  <c r="L15" i="1" s="1"/>
  <c r="N15" i="1" s="1"/>
  <c r="P15" i="1" s="1"/>
  <c r="K14" i="1"/>
  <c r="L14" i="1" s="1"/>
  <c r="N14" i="1" s="1"/>
  <c r="P14" i="1" s="1"/>
  <c r="K13" i="1"/>
  <c r="L13" i="1" s="1"/>
  <c r="N13" i="1" s="1"/>
  <c r="P13" i="1" s="1"/>
  <c r="K12" i="1"/>
  <c r="L12" i="1" s="1"/>
  <c r="N12" i="1" s="1"/>
  <c r="P12" i="1" s="1"/>
  <c r="K11" i="1"/>
  <c r="L11" i="1" s="1"/>
  <c r="N11" i="1" s="1"/>
  <c r="P11" i="1" s="1"/>
  <c r="K10" i="1"/>
  <c r="L10" i="1" s="1"/>
  <c r="N10" i="1" s="1"/>
  <c r="P10" i="1" s="1"/>
  <c r="K9" i="1"/>
  <c r="L9" i="1" s="1"/>
  <c r="N9" i="1" s="1"/>
  <c r="P9" i="1" s="1"/>
  <c r="K8" i="1"/>
  <c r="L8" i="1" s="1"/>
  <c r="N8" i="1" s="1"/>
  <c r="P8" i="1" s="1"/>
  <c r="K7" i="1"/>
  <c r="L7" i="1" s="1"/>
  <c r="N7" i="1" s="1"/>
  <c r="P7" i="1" s="1"/>
  <c r="K6" i="1"/>
  <c r="L6" i="1" s="1"/>
  <c r="N6" i="1" s="1"/>
  <c r="P6" i="1" s="1"/>
  <c r="K5" i="1"/>
  <c r="L5" i="1" s="1"/>
  <c r="N5" i="1" s="1"/>
  <c r="P5" i="1" s="1"/>
  <c r="K4" i="1"/>
  <c r="L4" i="1" s="1"/>
  <c r="N4" i="1" s="1"/>
  <c r="P4" i="1" s="1"/>
  <c r="K3" i="1"/>
  <c r="L3" i="1" s="1"/>
  <c r="N3" i="1" s="1"/>
  <c r="P3" i="1" s="1"/>
  <c r="K2" i="1"/>
  <c r="L2" i="1" s="1"/>
  <c r="N2" i="1" s="1"/>
  <c r="P2" i="1" s="1"/>
  <c r="P18" i="1" s="1"/>
</calcChain>
</file>

<file path=xl/sharedStrings.xml><?xml version="1.0" encoding="utf-8"?>
<sst xmlns="http://schemas.openxmlformats.org/spreadsheetml/2006/main" count="49" uniqueCount="40">
  <si>
    <t>الفئة</t>
  </si>
  <si>
    <t>الموديل</t>
  </si>
  <si>
    <t>ART</t>
  </si>
  <si>
    <t>سعر البيع (أوردر 2 قطع)</t>
  </si>
  <si>
    <t>سعر التوريد للقطعة</t>
  </si>
  <si>
    <t>اجمالي 
عدد الأوردرات المسلمة</t>
  </si>
  <si>
    <t>فرق الشحن شامل التغليف</t>
  </si>
  <si>
    <t>تكلفة الإعلان</t>
  </si>
  <si>
    <t>أوبريشن</t>
  </si>
  <si>
    <t>إجمالي التكلفة
للطلب الواحد</t>
  </si>
  <si>
    <t xml:space="preserve">سعر البيع </t>
  </si>
  <si>
    <t>نسبة الربح للطرفين</t>
  </si>
  <si>
    <t>صافي الربح المتوقع لكل طرف</t>
  </si>
  <si>
    <t>تارجت الاوردرات التسليم</t>
  </si>
  <si>
    <t>صافي الربح المتوقع</t>
  </si>
  <si>
    <t>A</t>
  </si>
  <si>
    <t>ama8</t>
  </si>
  <si>
    <t>مستورد</t>
  </si>
  <si>
    <t>hk02</t>
  </si>
  <si>
    <t>mk01</t>
  </si>
  <si>
    <t>lk01</t>
  </si>
  <si>
    <t>mkf</t>
  </si>
  <si>
    <t>B</t>
  </si>
  <si>
    <t>pr</t>
  </si>
  <si>
    <t>d</t>
  </si>
  <si>
    <t>dg1</t>
  </si>
  <si>
    <t>تشكيل</t>
  </si>
  <si>
    <t>ks</t>
  </si>
  <si>
    <t>جزم مزاجو</t>
  </si>
  <si>
    <t>sky maz</t>
  </si>
  <si>
    <t>elio</t>
  </si>
  <si>
    <t>مشرفين</t>
  </si>
  <si>
    <t>CALL CENTER</t>
  </si>
  <si>
    <t>FOLLOW UP</t>
  </si>
  <si>
    <t>داتا انتري واكونت مانجر</t>
  </si>
  <si>
    <t>محاسب</t>
  </si>
  <si>
    <t>أمين مخزن</t>
  </si>
  <si>
    <t>عمال مخزن</t>
  </si>
  <si>
    <t>ايجار مخزن</t>
  </si>
  <si>
    <t>لكل اوردر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</si>
</sst>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EGP]\ * #,##0_-;\-[$EGP]\ * #,##0_-;_-[$EGP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E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6EA9-7687-44B0-8936-96F24CC39D5D}">
  <dimension ref="A1:P34"/>
  <sheetViews>
    <sheetView tabSelected="1" workbookViewId="0">
      <selection activeCell="J23" sqref="J23"/>
    </sheetView>
  </sheetViews>
  <sheetFormatPr defaultRowHeight="14.4" x14ac:dyDescent="0.3"/>
  <cols>
    <col min="5" max="5" width="17.109375" style="19" bestFit="1" customWidth="1"/>
    <col min="6" max="6" width="13.21875" bestFit="1" customWidth="1"/>
    <col min="8" max="8" width="17.5546875" bestFit="1" customWidth="1"/>
    <col min="9" max="9" width="10.21875" customWidth="1"/>
    <col min="12" max="12" width="13" style="19" bestFit="1" customWidth="1"/>
    <col min="13" max="13" width="15" bestFit="1" customWidth="1"/>
    <col min="14" max="14" width="20.33203125" bestFit="1" customWidth="1"/>
    <col min="15" max="15" width="17.21875" bestFit="1" customWidth="1"/>
    <col min="16" max="16" width="13.6640625" bestFit="1" customWidth="1"/>
  </cols>
  <sheetData>
    <row r="1" spans="1:16" ht="55.2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5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15.6" x14ac:dyDescent="0.3">
      <c r="A2" s="6">
        <v>1</v>
      </c>
      <c r="B2" s="7" t="s">
        <v>15</v>
      </c>
      <c r="C2" s="7" t="s">
        <v>16</v>
      </c>
      <c r="D2" s="7"/>
      <c r="E2" s="8">
        <v>699</v>
      </c>
      <c r="F2" s="9">
        <v>210</v>
      </c>
      <c r="G2" s="7">
        <v>500</v>
      </c>
      <c r="H2" s="7">
        <v>50</v>
      </c>
      <c r="I2" s="7">
        <v>130</v>
      </c>
      <c r="J2" s="7">
        <v>15</v>
      </c>
      <c r="K2" s="9">
        <f>SUM(F2*2)+J2+I2+H2</f>
        <v>615</v>
      </c>
      <c r="L2" s="8">
        <f>E2-K2</f>
        <v>84</v>
      </c>
      <c r="M2" s="10">
        <v>0.5</v>
      </c>
      <c r="N2" s="9">
        <f>L2*M2</f>
        <v>42</v>
      </c>
      <c r="O2" s="11">
        <v>500</v>
      </c>
      <c r="P2" s="12">
        <f>O2*N2</f>
        <v>21000</v>
      </c>
    </row>
    <row r="3" spans="1:16" ht="15.6" x14ac:dyDescent="0.3">
      <c r="A3" s="6">
        <v>2</v>
      </c>
      <c r="B3" s="13" t="s">
        <v>17</v>
      </c>
      <c r="C3" s="7" t="s">
        <v>18</v>
      </c>
      <c r="D3" s="7"/>
      <c r="E3" s="8">
        <v>699</v>
      </c>
      <c r="F3" s="9">
        <v>175</v>
      </c>
      <c r="G3" s="7">
        <v>500</v>
      </c>
      <c r="H3" s="7">
        <v>50</v>
      </c>
      <c r="I3" s="7">
        <v>130</v>
      </c>
      <c r="J3" s="7">
        <v>15</v>
      </c>
      <c r="K3" s="9">
        <f>SUM(F3*2)+J3+I3+H3</f>
        <v>545</v>
      </c>
      <c r="L3" s="8">
        <f t="shared" ref="L3:L17" si="0">E3-K3</f>
        <v>154</v>
      </c>
      <c r="M3" s="10">
        <v>0.5</v>
      </c>
      <c r="N3" s="9">
        <f t="shared" ref="N3:N17" si="1">L3*M3</f>
        <v>77</v>
      </c>
      <c r="O3" s="11">
        <v>500</v>
      </c>
      <c r="P3" s="12">
        <f t="shared" ref="P3:P17" si="2">O3*N3</f>
        <v>38500</v>
      </c>
    </row>
    <row r="4" spans="1:16" ht="15.6" x14ac:dyDescent="0.3">
      <c r="A4" s="6">
        <v>3</v>
      </c>
      <c r="B4" s="14"/>
      <c r="C4" s="7" t="s">
        <v>19</v>
      </c>
      <c r="D4" s="7"/>
      <c r="E4" s="8">
        <v>699</v>
      </c>
      <c r="F4" s="9">
        <v>175</v>
      </c>
      <c r="G4" s="7">
        <v>500</v>
      </c>
      <c r="H4" s="7">
        <v>50</v>
      </c>
      <c r="I4" s="7">
        <v>130</v>
      </c>
      <c r="J4" s="7">
        <v>15</v>
      </c>
      <c r="K4" s="9">
        <f>SUM(F4*2)+J4+I4+H4</f>
        <v>545</v>
      </c>
      <c r="L4" s="8">
        <f t="shared" si="0"/>
        <v>154</v>
      </c>
      <c r="M4" s="10">
        <v>0.5</v>
      </c>
      <c r="N4" s="9">
        <f t="shared" si="1"/>
        <v>77</v>
      </c>
      <c r="O4" s="11">
        <v>500</v>
      </c>
      <c r="P4" s="12">
        <f t="shared" si="2"/>
        <v>38500</v>
      </c>
    </row>
    <row r="5" spans="1:16" ht="15.6" x14ac:dyDescent="0.3">
      <c r="A5" s="6">
        <v>4</v>
      </c>
      <c r="B5" s="14"/>
      <c r="C5" s="7" t="s">
        <v>20</v>
      </c>
      <c r="D5" s="7"/>
      <c r="E5" s="8">
        <v>699</v>
      </c>
      <c r="F5" s="9">
        <v>175</v>
      </c>
      <c r="G5" s="7">
        <v>500</v>
      </c>
      <c r="H5" s="7">
        <v>50</v>
      </c>
      <c r="I5" s="7">
        <v>130</v>
      </c>
      <c r="J5" s="7">
        <v>15</v>
      </c>
      <c r="K5" s="9">
        <f>SUM(F5*2)+J5+I5+H5</f>
        <v>545</v>
      </c>
      <c r="L5" s="8">
        <f t="shared" si="0"/>
        <v>154</v>
      </c>
      <c r="M5" s="10">
        <v>0.5</v>
      </c>
      <c r="N5" s="9">
        <f t="shared" si="1"/>
        <v>77</v>
      </c>
      <c r="O5" s="11">
        <v>500</v>
      </c>
      <c r="P5" s="12">
        <f t="shared" si="2"/>
        <v>38500</v>
      </c>
    </row>
    <row r="6" spans="1:16" ht="15.6" x14ac:dyDescent="0.3">
      <c r="A6" s="6">
        <v>5</v>
      </c>
      <c r="B6" s="15"/>
      <c r="C6" s="7" t="s">
        <v>21</v>
      </c>
      <c r="D6" s="7"/>
      <c r="E6" s="8">
        <v>699</v>
      </c>
      <c r="F6" s="9">
        <v>175</v>
      </c>
      <c r="G6" s="7">
        <v>500</v>
      </c>
      <c r="H6" s="7">
        <v>50</v>
      </c>
      <c r="I6" s="7">
        <v>130</v>
      </c>
      <c r="J6" s="7">
        <v>15</v>
      </c>
      <c r="K6" s="9">
        <f>SUM(F6*2)+J6+I6+H6</f>
        <v>545</v>
      </c>
      <c r="L6" s="8">
        <f t="shared" si="0"/>
        <v>154</v>
      </c>
      <c r="M6" s="10">
        <v>0.5</v>
      </c>
      <c r="N6" s="9">
        <f t="shared" si="1"/>
        <v>77</v>
      </c>
      <c r="O6" s="11">
        <v>500</v>
      </c>
      <c r="P6" s="12">
        <f t="shared" si="2"/>
        <v>38500</v>
      </c>
    </row>
    <row r="7" spans="1:16" ht="15.6" x14ac:dyDescent="0.3">
      <c r="A7" s="6">
        <v>6</v>
      </c>
      <c r="B7" s="7" t="s">
        <v>22</v>
      </c>
      <c r="C7" s="7" t="s">
        <v>23</v>
      </c>
      <c r="D7" s="7"/>
      <c r="E7" s="8">
        <v>599</v>
      </c>
      <c r="F7" s="9">
        <v>175</v>
      </c>
      <c r="G7" s="7">
        <v>500</v>
      </c>
      <c r="H7" s="7">
        <v>50</v>
      </c>
      <c r="I7" s="7">
        <v>120</v>
      </c>
      <c r="J7" s="7">
        <v>15</v>
      </c>
      <c r="K7" s="9">
        <f>SUM(F7*2)+J7+I7+H7</f>
        <v>535</v>
      </c>
      <c r="L7" s="8">
        <f t="shared" si="0"/>
        <v>64</v>
      </c>
      <c r="M7" s="10">
        <v>0.5</v>
      </c>
      <c r="N7" s="9">
        <f t="shared" si="1"/>
        <v>32</v>
      </c>
      <c r="O7" s="11">
        <v>500</v>
      </c>
      <c r="P7" s="12">
        <f t="shared" si="2"/>
        <v>16000</v>
      </c>
    </row>
    <row r="8" spans="1:16" ht="15.6" x14ac:dyDescent="0.3">
      <c r="A8" s="6">
        <v>7</v>
      </c>
      <c r="B8" s="7" t="s">
        <v>22</v>
      </c>
      <c r="C8" s="7" t="s">
        <v>23</v>
      </c>
      <c r="D8" s="7"/>
      <c r="E8" s="8">
        <v>599</v>
      </c>
      <c r="F8" s="9">
        <v>175</v>
      </c>
      <c r="G8" s="7">
        <v>500</v>
      </c>
      <c r="H8" s="7">
        <v>50</v>
      </c>
      <c r="I8" s="7">
        <v>120</v>
      </c>
      <c r="J8" s="7">
        <v>15</v>
      </c>
      <c r="K8" s="9">
        <f>SUM(F8*2)+J8+I8+H8</f>
        <v>535</v>
      </c>
      <c r="L8" s="8">
        <f t="shared" si="0"/>
        <v>64</v>
      </c>
      <c r="M8" s="10">
        <v>0.5</v>
      </c>
      <c r="N8" s="9">
        <f t="shared" si="1"/>
        <v>32</v>
      </c>
      <c r="O8" s="11">
        <v>500</v>
      </c>
      <c r="P8" s="12">
        <f t="shared" si="2"/>
        <v>16000</v>
      </c>
    </row>
    <row r="9" spans="1:16" ht="15.6" x14ac:dyDescent="0.3">
      <c r="A9" s="6">
        <v>8</v>
      </c>
      <c r="B9" s="7" t="s">
        <v>22</v>
      </c>
      <c r="C9" s="7" t="s">
        <v>23</v>
      </c>
      <c r="D9" s="7"/>
      <c r="E9" s="8">
        <v>599</v>
      </c>
      <c r="F9" s="9">
        <v>175</v>
      </c>
      <c r="G9" s="7">
        <v>500</v>
      </c>
      <c r="H9" s="7">
        <v>50</v>
      </c>
      <c r="I9" s="7">
        <v>120</v>
      </c>
      <c r="J9" s="7">
        <v>15</v>
      </c>
      <c r="K9" s="9">
        <f>SUM(F9*2)+J9+I9+H9</f>
        <v>535</v>
      </c>
      <c r="L9" s="8">
        <f t="shared" si="0"/>
        <v>64</v>
      </c>
      <c r="M9" s="10">
        <v>0.5</v>
      </c>
      <c r="N9" s="9">
        <f t="shared" si="1"/>
        <v>32</v>
      </c>
      <c r="O9" s="11">
        <v>500</v>
      </c>
      <c r="P9" s="12">
        <f t="shared" si="2"/>
        <v>16000</v>
      </c>
    </row>
    <row r="10" spans="1:16" ht="15.6" x14ac:dyDescent="0.3">
      <c r="A10" s="6">
        <v>9</v>
      </c>
      <c r="B10" s="7" t="s">
        <v>22</v>
      </c>
      <c r="C10" s="7" t="s">
        <v>24</v>
      </c>
      <c r="D10" s="7"/>
      <c r="E10" s="8">
        <v>599</v>
      </c>
      <c r="F10" s="9">
        <v>175</v>
      </c>
      <c r="G10" s="7">
        <v>500</v>
      </c>
      <c r="H10" s="7">
        <v>50</v>
      </c>
      <c r="I10" s="7">
        <v>120</v>
      </c>
      <c r="J10" s="7">
        <v>15</v>
      </c>
      <c r="K10" s="9">
        <f>SUM(F10*2)+J10+I10+H10</f>
        <v>535</v>
      </c>
      <c r="L10" s="8">
        <f t="shared" si="0"/>
        <v>64</v>
      </c>
      <c r="M10" s="10">
        <v>0.5</v>
      </c>
      <c r="N10" s="9">
        <f t="shared" si="1"/>
        <v>32</v>
      </c>
      <c r="O10" s="11">
        <v>500</v>
      </c>
      <c r="P10" s="12">
        <f t="shared" si="2"/>
        <v>16000</v>
      </c>
    </row>
    <row r="11" spans="1:16" ht="15.6" x14ac:dyDescent="0.3">
      <c r="A11" s="6">
        <v>10</v>
      </c>
      <c r="B11" s="7" t="s">
        <v>22</v>
      </c>
      <c r="C11" s="7" t="s">
        <v>25</v>
      </c>
      <c r="D11" s="7"/>
      <c r="E11" s="8">
        <v>599</v>
      </c>
      <c r="F11" s="9">
        <v>175</v>
      </c>
      <c r="G11" s="7">
        <v>500</v>
      </c>
      <c r="H11" s="7">
        <v>50</v>
      </c>
      <c r="I11" s="7">
        <v>120</v>
      </c>
      <c r="J11" s="7">
        <v>15</v>
      </c>
      <c r="K11" s="9">
        <f>SUM(F11*2)+J11+I11+H11</f>
        <v>535</v>
      </c>
      <c r="L11" s="8">
        <f t="shared" si="0"/>
        <v>64</v>
      </c>
      <c r="M11" s="10">
        <v>0.5</v>
      </c>
      <c r="N11" s="9">
        <f t="shared" si="1"/>
        <v>32</v>
      </c>
      <c r="O11" s="11">
        <v>500</v>
      </c>
      <c r="P11" s="12">
        <f t="shared" si="2"/>
        <v>16000</v>
      </c>
    </row>
    <row r="12" spans="1:16" ht="15.6" x14ac:dyDescent="0.3">
      <c r="A12" s="6">
        <v>11</v>
      </c>
      <c r="B12" s="13" t="s">
        <v>26</v>
      </c>
      <c r="C12" s="7" t="s">
        <v>27</v>
      </c>
      <c r="D12" s="7"/>
      <c r="E12" s="8">
        <v>599</v>
      </c>
      <c r="F12" s="9">
        <v>160</v>
      </c>
      <c r="G12" s="7">
        <v>500</v>
      </c>
      <c r="H12" s="7">
        <v>50</v>
      </c>
      <c r="I12" s="7">
        <v>120</v>
      </c>
      <c r="J12" s="7">
        <v>15</v>
      </c>
      <c r="K12" s="9">
        <f>SUM(F12*2)+J12+I12+H12</f>
        <v>505</v>
      </c>
      <c r="L12" s="8">
        <f t="shared" si="0"/>
        <v>94</v>
      </c>
      <c r="M12" s="10">
        <v>0.5</v>
      </c>
      <c r="N12" s="9">
        <f t="shared" si="1"/>
        <v>47</v>
      </c>
      <c r="O12" s="11">
        <v>500</v>
      </c>
      <c r="P12" s="12">
        <f t="shared" si="2"/>
        <v>23500</v>
      </c>
    </row>
    <row r="13" spans="1:16" ht="15.6" x14ac:dyDescent="0.3">
      <c r="A13" s="6">
        <v>12</v>
      </c>
      <c r="B13" s="14"/>
      <c r="C13" s="7" t="s">
        <v>27</v>
      </c>
      <c r="D13" s="7"/>
      <c r="E13" s="8">
        <v>599</v>
      </c>
      <c r="F13" s="9">
        <v>160</v>
      </c>
      <c r="G13" s="7">
        <v>500</v>
      </c>
      <c r="H13" s="7">
        <v>50</v>
      </c>
      <c r="I13" s="7">
        <v>120</v>
      </c>
      <c r="J13" s="7">
        <v>15</v>
      </c>
      <c r="K13" s="9">
        <f>SUM(F13*2)+J13+I13+H13</f>
        <v>505</v>
      </c>
      <c r="L13" s="8">
        <f t="shared" si="0"/>
        <v>94</v>
      </c>
      <c r="M13" s="10">
        <v>0.5</v>
      </c>
      <c r="N13" s="9">
        <f t="shared" si="1"/>
        <v>47</v>
      </c>
      <c r="O13" s="11">
        <v>500</v>
      </c>
      <c r="P13" s="12">
        <f t="shared" si="2"/>
        <v>23500</v>
      </c>
    </row>
    <row r="14" spans="1:16" ht="15.6" x14ac:dyDescent="0.3">
      <c r="A14" s="6">
        <v>13</v>
      </c>
      <c r="B14" s="15"/>
      <c r="C14" s="7" t="s">
        <v>27</v>
      </c>
      <c r="D14" s="7"/>
      <c r="E14" s="8">
        <v>599</v>
      </c>
      <c r="F14" s="9">
        <v>160</v>
      </c>
      <c r="G14" s="7">
        <v>500</v>
      </c>
      <c r="H14" s="7">
        <v>50</v>
      </c>
      <c r="I14" s="7">
        <v>120</v>
      </c>
      <c r="J14" s="7">
        <v>15</v>
      </c>
      <c r="K14" s="9">
        <f>SUM(F14*2)+J14+I14+H14</f>
        <v>505</v>
      </c>
      <c r="L14" s="8">
        <f t="shared" si="0"/>
        <v>94</v>
      </c>
      <c r="M14" s="10">
        <v>0.5</v>
      </c>
      <c r="N14" s="9">
        <f t="shared" si="1"/>
        <v>47</v>
      </c>
      <c r="O14" s="11">
        <v>500</v>
      </c>
      <c r="P14" s="12">
        <f t="shared" si="2"/>
        <v>23500</v>
      </c>
    </row>
    <row r="15" spans="1:16" ht="15.6" x14ac:dyDescent="0.3">
      <c r="A15" s="6">
        <v>14</v>
      </c>
      <c r="B15" s="13" t="s">
        <v>28</v>
      </c>
      <c r="C15" s="7" t="s">
        <v>29</v>
      </c>
      <c r="D15" s="7"/>
      <c r="E15" s="8">
        <v>599</v>
      </c>
      <c r="F15" s="9">
        <v>165</v>
      </c>
      <c r="G15" s="7">
        <v>500</v>
      </c>
      <c r="H15" s="7">
        <v>50</v>
      </c>
      <c r="I15" s="7">
        <v>120</v>
      </c>
      <c r="J15" s="7">
        <v>15</v>
      </c>
      <c r="K15" s="9">
        <f>SUM(F15*2)+J15+I15+H15</f>
        <v>515</v>
      </c>
      <c r="L15" s="8">
        <f t="shared" si="0"/>
        <v>84</v>
      </c>
      <c r="M15" s="10">
        <v>0.5</v>
      </c>
      <c r="N15" s="9">
        <f t="shared" si="1"/>
        <v>42</v>
      </c>
      <c r="O15" s="11">
        <v>500</v>
      </c>
      <c r="P15" s="12">
        <f t="shared" si="2"/>
        <v>21000</v>
      </c>
    </row>
    <row r="16" spans="1:16" ht="15.6" x14ac:dyDescent="0.3">
      <c r="A16" s="6">
        <v>15</v>
      </c>
      <c r="B16" s="14"/>
      <c r="C16" s="7" t="s">
        <v>29</v>
      </c>
      <c r="D16" s="7"/>
      <c r="E16" s="8">
        <v>599</v>
      </c>
      <c r="F16" s="9">
        <v>165</v>
      </c>
      <c r="G16" s="7">
        <v>500</v>
      </c>
      <c r="H16" s="7">
        <v>50</v>
      </c>
      <c r="I16" s="7">
        <v>120</v>
      </c>
      <c r="J16" s="7">
        <v>15</v>
      </c>
      <c r="K16" s="9">
        <f>SUM(F16*2)+J16+I16+H16</f>
        <v>515</v>
      </c>
      <c r="L16" s="8">
        <f t="shared" si="0"/>
        <v>84</v>
      </c>
      <c r="M16" s="10">
        <v>0.5</v>
      </c>
      <c r="N16" s="9">
        <f t="shared" si="1"/>
        <v>42</v>
      </c>
      <c r="O16" s="11">
        <v>500</v>
      </c>
      <c r="P16" s="12">
        <f t="shared" si="2"/>
        <v>21000</v>
      </c>
    </row>
    <row r="17" spans="1:16" ht="15.6" x14ac:dyDescent="0.3">
      <c r="A17" s="6">
        <v>16</v>
      </c>
      <c r="B17" s="15"/>
      <c r="C17" s="7" t="s">
        <v>30</v>
      </c>
      <c r="D17" s="7"/>
      <c r="E17" s="8">
        <v>499</v>
      </c>
      <c r="F17" s="9">
        <v>115</v>
      </c>
      <c r="G17" s="7">
        <v>500</v>
      </c>
      <c r="H17" s="7">
        <v>50</v>
      </c>
      <c r="I17" s="7">
        <v>100</v>
      </c>
      <c r="J17" s="7">
        <v>15</v>
      </c>
      <c r="K17" s="9">
        <f>SUM(F17*2)+J17+I17+H17</f>
        <v>395</v>
      </c>
      <c r="L17" s="8">
        <f t="shared" si="0"/>
        <v>104</v>
      </c>
      <c r="M17" s="10">
        <v>0.5</v>
      </c>
      <c r="N17" s="9">
        <f t="shared" si="1"/>
        <v>52</v>
      </c>
      <c r="O17" s="11">
        <v>500</v>
      </c>
      <c r="P17" s="12">
        <f t="shared" si="2"/>
        <v>26000</v>
      </c>
    </row>
    <row r="18" spans="1:16" x14ac:dyDescent="0.3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7"/>
      <c r="M18" s="16"/>
      <c r="N18" s="16"/>
      <c r="O18" s="16">
        <f>SUM(O2:O17)</f>
        <v>8000</v>
      </c>
      <c r="P18" s="18">
        <f>SUM(P2:P17)</f>
        <v>393500</v>
      </c>
    </row>
    <row r="26" spans="1:16" x14ac:dyDescent="0.3">
      <c r="H26" s="16" t="s">
        <v>31</v>
      </c>
      <c r="I26" s="16">
        <v>8500</v>
      </c>
    </row>
    <row r="27" spans="1:16" x14ac:dyDescent="0.3">
      <c r="H27" s="16" t="s">
        <v>32</v>
      </c>
      <c r="I27" s="16">
        <v>17000</v>
      </c>
    </row>
    <row r="28" spans="1:16" x14ac:dyDescent="0.3">
      <c r="H28" s="16" t="s">
        <v>33</v>
      </c>
      <c r="I28" s="16">
        <v>7000</v>
      </c>
    </row>
    <row r="29" spans="1:16" x14ac:dyDescent="0.3">
      <c r="H29" s="16" t="s">
        <v>34</v>
      </c>
      <c r="I29" s="16">
        <v>10000</v>
      </c>
    </row>
    <row r="30" spans="1:16" x14ac:dyDescent="0.3">
      <c r="H30" s="16" t="s">
        <v>35</v>
      </c>
      <c r="I30" s="16">
        <v>7000</v>
      </c>
    </row>
    <row r="31" spans="1:16" x14ac:dyDescent="0.3">
      <c r="H31" s="16" t="s">
        <v>36</v>
      </c>
      <c r="I31" s="16">
        <v>7000</v>
      </c>
    </row>
    <row r="32" spans="1:16" x14ac:dyDescent="0.3">
      <c r="H32" s="16" t="s">
        <v>37</v>
      </c>
      <c r="I32" s="16">
        <v>12000</v>
      </c>
    </row>
    <row r="33" spans="8:11" x14ac:dyDescent="0.3">
      <c r="H33" s="16" t="s">
        <v>38</v>
      </c>
      <c r="I33" s="16">
        <v>20000</v>
      </c>
    </row>
    <row r="34" spans="8:11" x14ac:dyDescent="0.3">
      <c r="H34" s="16"/>
      <c r="I34" s="16">
        <f>SUM(I26:I33)</f>
        <v>88500</v>
      </c>
      <c r="J34">
        <f>I34/7000</f>
        <v>12.642857142857142</v>
      </c>
      <c r="K34" t="s">
        <v>39</v>
      </c>
    </row>
  </sheetData>
  <mergeCells count="3">
    <mergeCell ref="B3:B6"/>
    <mergeCell ref="B12:B14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2025-07-06T12:47:19Z</dcterms:created>
  <dcterms:modified xsi:type="dcterms:W3CDTF">2025-07-06T13:31:03Z</dcterms:modified>
</cp:coreProperties>
</file>